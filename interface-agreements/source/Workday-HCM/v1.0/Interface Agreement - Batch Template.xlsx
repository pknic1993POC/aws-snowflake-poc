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teek.nichani\Downloads\"/>
    </mc:Choice>
  </mc:AlternateContent>
  <xr:revisionPtr revIDLastSave="0" documentId="13_ncr:1_{F436351C-204E-4545-A28C-2E7AEF97AA0F}" xr6:coauthVersionLast="47" xr6:coauthVersionMax="47" xr10:uidLastSave="{00000000-0000-0000-0000-000000000000}"/>
  <workbookProtection lockStructure="1"/>
  <bookViews>
    <workbookView xWindow="28680" yWindow="-120" windowWidth="29040" windowHeight="15720" tabRatio="500" firstSheet="2" activeTab="5" xr2:uid="{00000000-000D-0000-FFFF-FFFF00000000}"/>
  </bookViews>
  <sheets>
    <sheet name="1. Data Integration" sheetId="1" r:id="rId1"/>
    <sheet name="2. MDP Ingestion Pattern" sheetId="3" r:id="rId2"/>
    <sheet name="3. Datasets" sheetId="9" r:id="rId3"/>
    <sheet name="4. Dataset Attributes" sheetId="4" r:id="rId4"/>
    <sheet name="5. Version Control" sheetId="5" r:id="rId5"/>
    <sheet name="Interface Reference" sheetId="10" r:id="rId6"/>
  </sheets>
  <definedNames>
    <definedName name="_xlnm._FilterDatabase" localSheetId="2" hidden="1">'3. Datasets'!$A$3:$M$5</definedName>
    <definedName name="_xlnm._FilterDatabase" localSheetId="3" hidden="1">'4. Dataset Attributes'!$A$3:$J$37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D34" i="1"/>
  <c r="A29" i="1"/>
</calcChain>
</file>

<file path=xl/sharedStrings.xml><?xml version="1.0" encoding="utf-8"?>
<sst xmlns="http://schemas.openxmlformats.org/spreadsheetml/2006/main" count="591" uniqueCount="279">
  <si>
    <t xml:space="preserve">Interface Agreement Specification · Complete one per system · Blue = fill in </t>
  </si>
  <si>
    <t>Field</t>
  </si>
  <si>
    <t>Guidance</t>
  </si>
  <si>
    <t>Example</t>
  </si>
  <si>
    <t>Responsibility</t>
  </si>
  <si>
    <t>DSI116-A906-Workday HCM</t>
  </si>
  <si>
    <t>Unique Identifier</t>
  </si>
  <si>
    <t>DSI01-A123-Workday</t>
  </si>
  <si>
    <t>Accenture</t>
  </si>
  <si>
    <t>1. SYSTEM IDENTIFICATION</t>
  </si>
  <si>
    <t>★ Data Source Name</t>
  </si>
  <si>
    <t>Workday HCM</t>
  </si>
  <si>
    <t>Official name — matching CMDB</t>
  </si>
  <si>
    <t xml:space="preserve">  CMDB App ID</t>
  </si>
  <si>
    <t>A906</t>
  </si>
  <si>
    <t>The CMDB assigned Application ID, if it exists</t>
  </si>
  <si>
    <t>A123</t>
  </si>
  <si>
    <t>Qantas</t>
  </si>
  <si>
    <t xml:space="preserve">  System Acronym</t>
  </si>
  <si>
    <t>WD</t>
  </si>
  <si>
    <t>Short code used in data pipelines / schemas</t>
  </si>
  <si>
    <t xml:space="preserve">  Platform or Application Vendor</t>
  </si>
  <si>
    <t>Workday Inc</t>
  </si>
  <si>
    <t>Vendor and platform name</t>
  </si>
  <si>
    <t>Workday</t>
  </si>
  <si>
    <t xml:space="preserve">  Version / Release</t>
  </si>
  <si>
    <t>Current production version</t>
  </si>
  <si>
    <t>2024R1</t>
  </si>
  <si>
    <t xml:space="preserve">  Hosted Environment</t>
  </si>
  <si>
    <t>Vendor SaaS</t>
  </si>
  <si>
    <t>Where is this system hosted?</t>
  </si>
  <si>
    <t>Vendor SaaS / Qantas Private Cloud / AWS</t>
  </si>
  <si>
    <t>★ Business Domain</t>
  </si>
  <si>
    <t>People, Finance</t>
  </si>
  <si>
    <t>Which business domain(s) data products will this feed?</t>
  </si>
  <si>
    <t>2. OWNERSHIP &amp; CONTACTS</t>
  </si>
  <si>
    <t>★ Source Technical Product Owner</t>
  </si>
  <si>
    <t>Technical expert for the source system</t>
  </si>
  <si>
    <t>Bill Smith</t>
  </si>
  <si>
    <t>★ Data Owner / Steward</t>
  </si>
  <si>
    <t>Responsible for data quality</t>
  </si>
  <si>
    <t>People Analytics Manager; Nicole Smith</t>
  </si>
  <si>
    <t xml:space="preserve">  Business Owner</t>
  </si>
  <si>
    <t>Accountable person for this system's data</t>
  </si>
  <si>
    <t>Head of HR Technology; Chris Smith</t>
  </si>
  <si>
    <t xml:space="preserve">  Business SME</t>
  </si>
  <si>
    <t>Business use expert of source system data</t>
  </si>
  <si>
    <t>Tim Smith</t>
  </si>
  <si>
    <t xml:space="preserve">  Qantas IT Contact (Source SME)</t>
  </si>
  <si>
    <t>IT owner — integration build &amp; support</t>
  </si>
  <si>
    <t>john.smith@qantas.com</t>
  </si>
  <si>
    <t xml:space="preserve">  Vendor Support Contact (Source SME)</t>
  </si>
  <si>
    <t>Vendor TAM or support contact</t>
  </si>
  <si>
    <t>jane.smith@workday.com</t>
  </si>
  <si>
    <t>★ Interface Agreement Approver</t>
  </si>
  <si>
    <t>Who signs off this contract form Qantas?</t>
  </si>
  <si>
    <t>CPO delegate: Tim Smith</t>
  </si>
  <si>
    <t>3. INTEGRATION DESIGN</t>
  </si>
  <si>
    <t>★ Integration Pattern</t>
  </si>
  <si>
    <t>How data moves from source to the new data platform</t>
  </si>
  <si>
    <t>Batch File, Streaming, CDC, API</t>
  </si>
  <si>
    <t>★ Connection Type</t>
  </si>
  <si>
    <t>Pull (new platform extracts),Push (system sends)</t>
  </si>
  <si>
    <t>Pull, Push</t>
  </si>
  <si>
    <t xml:space="preserve">  Trigger</t>
  </si>
  <si>
    <t>Event that triggers extraction</t>
  </si>
  <si>
    <t>Email notification, SQS Notification</t>
  </si>
  <si>
    <t xml:space="preserve">  Estimated Volume / Throughput</t>
  </si>
  <si>
    <t>Records per extraction / File Size</t>
  </si>
  <si>
    <t>~50,000 rows</t>
  </si>
  <si>
    <t xml:space="preserve">  Volume Limitation</t>
  </si>
  <si>
    <t>Limitations on the volume of data that can be transferred at one time</t>
  </si>
  <si>
    <t>100mb partition</t>
  </si>
  <si>
    <t>CSV</t>
  </si>
  <si>
    <t>4. NETWORK &amp; SECURITY</t>
  </si>
  <si>
    <t>★ Firewall / Network Zone</t>
  </si>
  <si>
    <t>Internal Corporate</t>
  </si>
  <si>
    <t>Network zone for this system</t>
  </si>
  <si>
    <t xml:space="preserve">  Link to Network Design for Source System</t>
  </si>
  <si>
    <t xml:space="preserve">  New Firewall Rule Needed?</t>
  </si>
  <si>
    <t>Does a rule need to be opened?</t>
  </si>
  <si>
    <t>No — existing rule covers</t>
  </si>
  <si>
    <t>★ Authentication Method</t>
  </si>
  <si>
    <t>How pipeline authenticates</t>
  </si>
  <si>
    <t>OAuth 2.0 / Service Account</t>
  </si>
  <si>
    <t xml:space="preserve">  Credentials Owner</t>
  </si>
  <si>
    <t>Who manages the service account / key</t>
  </si>
  <si>
    <t>Qantas IT — Platforms: James Smith</t>
  </si>
  <si>
    <t xml:space="preserve">  Credentials Management</t>
  </si>
  <si>
    <t>How will credentials be shared and stored</t>
  </si>
  <si>
    <t>Secrets Manager</t>
  </si>
  <si>
    <t>5. SLA &amp; CONTRACT TERMS</t>
  </si>
  <si>
    <t xml:space="preserve">  Availability SLA (dependant on freshness SLA)</t>
  </si>
  <si>
    <t>99.5% Mon–Fri business hours</t>
  </si>
  <si>
    <t>Agreed uptime for extraction window</t>
  </si>
  <si>
    <t xml:space="preserve">  Schema Change Notice</t>
  </si>
  <si>
    <t>Don't have one yet</t>
  </si>
  <si>
    <t>How changes communicated &amp; timing</t>
  </si>
  <si>
    <t>30-day notice via IT Change Board</t>
  </si>
  <si>
    <t xml:space="preserve">  Break/Fix Responsibility</t>
  </si>
  <si>
    <t>D&amp;A People analytics team + Mivada</t>
  </si>
  <si>
    <t>Who resolves failures, and how will it be notified</t>
  </si>
  <si>
    <t>Qantas IT (pipeline) / Vendor (source)</t>
  </si>
  <si>
    <t xml:space="preserve">  Review Cadence</t>
  </si>
  <si>
    <t>Upon change / Half-yearly</t>
  </si>
  <si>
    <t>How often contract reviewed</t>
  </si>
  <si>
    <t>Quarterly</t>
  </si>
  <si>
    <t>★ Contract Status</t>
  </si>
  <si>
    <t>Not Started</t>
  </si>
  <si>
    <t>Current status</t>
  </si>
  <si>
    <t>Not Started, In Progress, Complete</t>
  </si>
  <si>
    <t xml:space="preserve">  Date Agreed</t>
  </si>
  <si>
    <t>TBD</t>
  </si>
  <si>
    <t>Sign-off date</t>
  </si>
  <si>
    <t>dd/mm/yyyy</t>
  </si>
  <si>
    <t xml:space="preserve">  Version</t>
  </si>
  <si>
    <t>v1.0</t>
  </si>
  <si>
    <t>Contract version</t>
  </si>
  <si>
    <t>6. Target Environment</t>
  </si>
  <si>
    <t>★ Target Platform</t>
  </si>
  <si>
    <t>Snowflake</t>
  </si>
  <si>
    <t>Target Producer Platform</t>
  </si>
  <si>
    <t>Target Database</t>
  </si>
  <si>
    <t>Target Producer Database within the Platform</t>
  </si>
  <si>
    <t>NONPROD.DEV_FINANCE</t>
  </si>
  <si>
    <t>Batch File</t>
  </si>
  <si>
    <t xml:space="preserve">Completeness Control </t>
  </si>
  <si>
    <t>Mechanism used to confirm that the complete delivery has been received.</t>
  </si>
  <si>
    <t>Control file containing expected row count</t>
  </si>
  <si>
    <t xml:space="preserve">Character Encoding </t>
  </si>
  <si>
    <t>UTF-8</t>
  </si>
  <si>
    <t xml:space="preserve">Duplicate / Resend Behaviour </t>
  </si>
  <si>
    <t>Whether the same file may be delivered more than once and how a resend is identified.</t>
  </si>
  <si>
    <t>Same filename may be resent following failure</t>
  </si>
  <si>
    <t xml:space="preserve">Correction Method </t>
  </si>
  <si>
    <t>Process used where previously delivered data needs to be corrected.</t>
  </si>
  <si>
    <t>Replacement file with same business date</t>
  </si>
  <si>
    <t xml:space="preserve">File Retention Period </t>
  </si>
  <si>
    <t>Period for which source files should remain available for reprocessing or audit.</t>
  </si>
  <si>
    <t>90 days</t>
  </si>
  <si>
    <t>Delimiter</t>
  </si>
  <si>
    <t>Yes</t>
  </si>
  <si>
    <t>*Accenture team to add diagram based on agreed Ingestion pattern with Producer system</t>
  </si>
  <si>
    <t xml:space="preserve">Interface Agreement Specification · Data Fields · Blue = fill in </t>
  </si>
  <si>
    <t>S.No </t>
  </si>
  <si>
    <t>Field Name </t>
  </si>
  <si>
    <t>Primary Key</t>
  </si>
  <si>
    <t>Nullability</t>
  </si>
  <si>
    <t>Field Length </t>
  </si>
  <si>
    <t>Field Description </t>
  </si>
  <si>
    <t>PII - Sensitive Data</t>
  </si>
  <si>
    <t>Name of the database and schema if applicable</t>
  </si>
  <si>
    <t>Name of the table / extract</t>
  </si>
  <si>
    <t>Column order number</t>
  </si>
  <si>
    <t>Name of field / column</t>
  </si>
  <si>
    <t>Type of data</t>
  </si>
  <si>
    <t>Indicate which field is the primary key / Reconcilliation Key for CDC</t>
  </si>
  <si>
    <t>Can the field contain null values?</t>
  </si>
  <si>
    <t>Max Length of field</t>
  </si>
  <si>
    <t>Description of data</t>
  </si>
  <si>
    <t>Yes / No</t>
  </si>
  <si>
    <t>No</t>
  </si>
  <si>
    <t>Data Field Information (Fill out this table)</t>
  </si>
  <si>
    <t>Interface Data Contract (per Source System) · Version Control</t>
  </si>
  <si>
    <t>Date</t>
  </si>
  <si>
    <t>Name</t>
  </si>
  <si>
    <t>Version</t>
  </si>
  <si>
    <t>Description</t>
  </si>
  <si>
    <t>Roy, James</t>
  </si>
  <si>
    <t>Initial Draft</t>
  </si>
  <si>
    <t>report_effective_date</t>
  </si>
  <si>
    <t>varchar(20)</t>
  </si>
  <si>
    <t/>
  </si>
  <si>
    <t>20</t>
  </si>
  <si>
    <t>employee_id</t>
  </si>
  <si>
    <t>pre_hire_id</t>
  </si>
  <si>
    <t>varchar(400)</t>
  </si>
  <si>
    <t>400</t>
  </si>
  <si>
    <t>salutation</t>
  </si>
  <si>
    <t>varchar(40)</t>
  </si>
  <si>
    <t>40</t>
  </si>
  <si>
    <t>legal_name_first_name</t>
  </si>
  <si>
    <t>varchar(512)</t>
  </si>
  <si>
    <t>512</t>
  </si>
  <si>
    <t>legal_name_middle_name</t>
  </si>
  <si>
    <t>legal_name_last_name</t>
  </si>
  <si>
    <t>preferred_name_first_name</t>
  </si>
  <si>
    <t>preferred_name_middle_name</t>
  </si>
  <si>
    <t>preferred_name_last_name</t>
  </si>
  <si>
    <t>gender</t>
  </si>
  <si>
    <t>varchar(200)</t>
  </si>
  <si>
    <t>200</t>
  </si>
  <si>
    <t>race_ethnicity</t>
  </si>
  <si>
    <t>varchar(600)</t>
  </si>
  <si>
    <t>600</t>
  </si>
  <si>
    <t>date_of_birth</t>
  </si>
  <si>
    <t>country_of_birth</t>
  </si>
  <si>
    <t>primary_nationality</t>
  </si>
  <si>
    <t>worker_type</t>
  </si>
  <si>
    <t>worker_sub_type</t>
  </si>
  <si>
    <t>work_email</t>
  </si>
  <si>
    <t>varchar(1000)</t>
  </si>
  <si>
    <t>1000</t>
  </si>
  <si>
    <t>gdp_id</t>
  </si>
  <si>
    <t>financial_delegation</t>
  </si>
  <si>
    <t>hire_date</t>
  </si>
  <si>
    <t>original_hire_date</t>
  </si>
  <si>
    <t>continuous_service_date</t>
  </si>
  <si>
    <t>company_service_date</t>
  </si>
  <si>
    <t>is_international_assignee</t>
  </si>
  <si>
    <t>active_status</t>
  </si>
  <si>
    <t>termination_date</t>
  </si>
  <si>
    <t>regrettable_termination</t>
  </si>
  <si>
    <t>not_eligible_for_hire</t>
  </si>
  <si>
    <t>primary_termination_reason</t>
  </si>
  <si>
    <t>varchar(64000)</t>
  </si>
  <si>
    <t>64000</t>
  </si>
  <si>
    <t>secondary_termination_reasons</t>
  </si>
  <si>
    <t>upstrm_file_locn</t>
  </si>
  <si>
    <t>varchar(4096)</t>
  </si>
  <si>
    <t>4096</t>
  </si>
  <si>
    <t>rec_recv_tsmp</t>
  </si>
  <si>
    <t>timestamp</t>
  </si>
  <si>
    <t>worker</t>
  </si>
  <si>
    <t>★ Dataset Name</t>
  </si>
  <si>
    <t>System Name</t>
  </si>
  <si>
    <t>File Encryption</t>
  </si>
  <si>
    <t>★ Interface Agreement ID</t>
  </si>
  <si>
    <t>Push</t>
  </si>
  <si>
    <t>Interface Reference</t>
  </si>
  <si>
    <t>Referenced Value</t>
  </si>
  <si>
    <t>interface_id</t>
  </si>
  <si>
    <t>Key Used</t>
  </si>
  <si>
    <t>source_system</t>
  </si>
  <si>
    <t>cmdb_app_id</t>
  </si>
  <si>
    <t>system_acronym</t>
  </si>
  <si>
    <t>vendor_name</t>
  </si>
  <si>
    <t>business_domain</t>
  </si>
  <si>
    <t>technical_product_owner</t>
  </si>
  <si>
    <t>data_owner</t>
  </si>
  <si>
    <t>integration_pattern</t>
  </si>
  <si>
    <t>connection_type</t>
  </si>
  <si>
    <t>Value</t>
  </si>
  <si>
    <t>Frequency</t>
  </si>
  <si>
    <t>Daily</t>
  </si>
  <si>
    <t>SLA</t>
  </si>
  <si>
    <t>File Compression</t>
  </si>
  <si>
    <t>File Naming Convention</t>
  </si>
  <si>
    <t>Target Path</t>
  </si>
  <si>
    <t>Source Path</t>
  </si>
  <si>
    <t>Dataset name</t>
  </si>
  <si>
    <t>Serial Number</t>
  </si>
  <si>
    <t>If pull, what is the path data is pulled from</t>
  </si>
  <si>
    <t>what is the target path</t>
  </si>
  <si>
    <t>File Format</t>
  </si>
  <si>
    <t>File extraction type</t>
  </si>
  <si>
    <t>Full vs Incremental</t>
  </si>
  <si>
    <t>If applicable, compression format</t>
  </si>
  <si>
    <t>If applicable, encryption format</t>
  </si>
  <si>
    <t>Boolean: True/False</t>
  </si>
  <si>
    <t>Header present</t>
  </si>
  <si>
    <t>Pipe , Comma</t>
  </si>
  <si>
    <t>Character format</t>
  </si>
  <si>
    <t>True or False to indicate if interface is active</t>
  </si>
  <si>
    <t xml:space="preserve">  Active</t>
  </si>
  <si>
    <t>Historical Data</t>
  </si>
  <si>
    <t>Approach for historica data</t>
  </si>
  <si>
    <t>Dataset description</t>
  </si>
  <si>
    <t>Description of the dataset</t>
  </si>
  <si>
    <t>Data Type </t>
  </si>
  <si>
    <t>Worker table that has all the employee information</t>
  </si>
  <si>
    <t>Full</t>
  </si>
  <si>
    <t>None</t>
  </si>
  <si>
    <t>Pipe</t>
  </si>
  <si>
    <t>Mandatory</t>
  </si>
  <si>
    <t>QMFT</t>
  </si>
  <si>
    <t>s3 bucket</t>
  </si>
  <si>
    <t>Active</t>
  </si>
  <si>
    <t>Dataset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</si>
</sst>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sz val="9"/>
      <color rgb="FF404040"/>
      <name val="Arial"/>
      <family val="2"/>
    </font>
    <font>
      <b/>
      <sz val="11"/>
      <color rgb="FFFFFFFF"/>
      <name val="Arial"/>
      <family val="2"/>
    </font>
    <font>
      <b/>
      <sz val="9"/>
      <color rgb="FFC00000"/>
      <name val="Arial"/>
      <family val="2"/>
    </font>
    <font>
      <i/>
      <sz val="8"/>
      <color rgb="FF808080"/>
      <name val="Arial"/>
      <family val="2"/>
    </font>
    <font>
      <sz val="8"/>
      <color rgb="FF00B8A4"/>
      <name val="Arial"/>
      <family val="2"/>
    </font>
    <font>
      <b/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Aptos"/>
    </font>
    <font>
      <b/>
      <sz val="11"/>
      <color rgb="FFFFFFFF"/>
      <name val="Aptos"/>
    </font>
    <font>
      <b/>
      <sz val="14"/>
      <color rgb="FFFFFFFF"/>
      <name val="Aptos"/>
    </font>
    <font>
      <b/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001A"/>
        <bgColor rgb="FFC00000"/>
      </patternFill>
    </fill>
    <fill>
      <patternFill patternType="solid">
        <fgColor rgb="FFF2F2F2"/>
        <bgColor rgb="FFF0F0F0"/>
      </patternFill>
    </fill>
    <fill>
      <patternFill patternType="solid">
        <fgColor rgb="FF2E75B6"/>
        <bgColor rgb="FF0066CC"/>
      </patternFill>
    </fill>
    <fill>
      <patternFill patternType="solid">
        <fgColor rgb="FF00B8A4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rgb="FFD6E4F0"/>
        <bgColor rgb="FFDEEAF1"/>
      </patternFill>
    </fill>
    <fill>
      <patternFill patternType="solid">
        <fgColor rgb="FFEEECE1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rgb="FF0066CC"/>
      </patternFill>
    </fill>
    <fill>
      <patternFill patternType="solid">
        <fgColor rgb="FF1F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/>
    <xf numFmtId="0" fontId="1" fillId="0" borderId="0"/>
    <xf numFmtId="0" fontId="13" fillId="0" borderId="0" applyNumberFormat="0" applyFill="0" applyBorder="0" applyAlignment="0" applyProtection="0"/>
    <xf numFmtId="0" fontId="14" fillId="0" borderId="0"/>
  </cellStyleXfs>
  <cellXfs count="58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5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2" fillId="5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left" vertical="center"/>
    </xf>
    <xf numFmtId="2" fontId="2" fillId="5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indent="1"/>
    </xf>
    <xf numFmtId="0" fontId="5" fillId="4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11" fillId="0" borderId="0" xfId="0" applyFont="1"/>
    <xf numFmtId="0" fontId="8" fillId="0" borderId="0" xfId="0" applyFont="1"/>
    <xf numFmtId="0" fontId="10" fillId="9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15" fillId="0" borderId="0" xfId="3" applyFont="1"/>
    <xf numFmtId="0" fontId="3" fillId="8" borderId="2" xfId="0" applyFont="1" applyFill="1" applyBorder="1" applyAlignment="1" applyProtection="1">
      <alignment vertical="center" wrapText="1"/>
      <protection locked="0"/>
    </xf>
    <xf numFmtId="0" fontId="12" fillId="8" borderId="2" xfId="0" applyFont="1" applyFill="1" applyBorder="1" applyAlignment="1" applyProtection="1">
      <alignment vertical="center" wrapText="1"/>
      <protection locked="0"/>
    </xf>
    <xf numFmtId="0" fontId="5" fillId="4" borderId="1" xfId="0" applyFont="1" applyFill="1" applyBorder="1" applyAlignment="1">
      <alignment horizontal="left" vertical="center" indent="1"/>
    </xf>
    <xf numFmtId="0" fontId="5" fillId="4" borderId="7" xfId="0" applyFont="1" applyFill="1" applyBorder="1" applyAlignment="1">
      <alignment horizontal="center" vertical="center"/>
    </xf>
    <xf numFmtId="0" fontId="14" fillId="0" borderId="0" xfId="3" applyAlignment="1">
      <alignment wrapText="1"/>
    </xf>
    <xf numFmtId="0" fontId="17" fillId="13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14" borderId="0" xfId="0" applyFont="1" applyFill="1" applyAlignment="1">
      <alignment vertical="center"/>
    </xf>
    <xf numFmtId="0" fontId="19" fillId="4" borderId="1" xfId="0" applyFont="1" applyFill="1" applyBorder="1" applyAlignment="1">
      <alignment horizontal="center" vertical="center" indent="1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 applyProtection="1">
      <alignment horizontal="left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vertical="center" indent="1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5" fillId="4" borderId="1" xfId="0" applyFont="1" applyFill="1" applyBorder="1" applyAlignment="1" applyProtection="1">
      <alignment vertical="center" indent="1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 indent="1"/>
      <protection locked="0"/>
    </xf>
    <xf numFmtId="0" fontId="0" fillId="0" borderId="0" xfId="0" applyAlignment="1" applyProtection="1">
      <alignment horizontal="left"/>
      <protection locked="0"/>
    </xf>
    <xf numFmtId="0" fontId="3" fillId="8" borderId="2" xfId="0" applyFont="1" applyFill="1" applyBorder="1" applyAlignment="1">
      <alignment vertical="center" wrapText="1"/>
    </xf>
    <xf numFmtId="0" fontId="18" fillId="12" borderId="0" xfId="0" applyFont="1" applyFill="1" applyAlignment="1">
      <alignment horizontal="center" vertical="center"/>
    </xf>
    <xf numFmtId="0" fontId="4" fillId="10" borderId="0" xfId="0" applyFont="1" applyFill="1" applyAlignment="1" applyProtection="1">
      <alignment horizontal="left" vertical="center" indent="1"/>
      <protection locked="0"/>
    </xf>
    <xf numFmtId="0" fontId="0" fillId="0" borderId="0" xfId="0" applyProtection="1">
      <protection locked="0"/>
    </xf>
    <xf numFmtId="0" fontId="11" fillId="0" borderId="0" xfId="0" applyFont="1" applyProtection="1">
      <protection locked="0"/>
    </xf>
    <xf numFmtId="0" fontId="4" fillId="6" borderId="0" xfId="0" applyFont="1" applyFill="1" applyAlignment="1" applyProtection="1">
      <alignment horizontal="left" vertical="center" indent="1"/>
      <protection locked="0"/>
    </xf>
    <xf numFmtId="0" fontId="4" fillId="2" borderId="3" xfId="0" applyFont="1" applyFill="1" applyBorder="1" applyAlignment="1" applyProtection="1">
      <alignment horizontal="left" vertical="center" indent="1"/>
      <protection locked="0"/>
    </xf>
    <xf numFmtId="0" fontId="0" fillId="0" borderId="3" xfId="0" applyBorder="1" applyProtection="1">
      <protection locked="0"/>
    </xf>
    <xf numFmtId="0" fontId="4" fillId="3" borderId="0" xfId="0" applyFont="1" applyFill="1" applyAlignment="1" applyProtection="1">
      <alignment horizontal="left" vertical="center" indent="1"/>
      <protection locked="0"/>
    </xf>
    <xf numFmtId="0" fontId="4" fillId="7" borderId="0" xfId="0" applyFont="1" applyFill="1" applyAlignment="1" applyProtection="1">
      <alignment horizontal="left" vertical="center" indent="1"/>
      <protection locked="0"/>
    </xf>
    <xf numFmtId="0" fontId="4" fillId="5" borderId="0" xfId="0" applyFont="1" applyFill="1" applyAlignment="1" applyProtection="1">
      <alignment horizontal="left" vertical="center" indent="1"/>
      <protection locked="0"/>
    </xf>
    <xf numFmtId="0" fontId="6" fillId="2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0" fillId="0" borderId="0" xfId="0"/>
    <xf numFmtId="2" fontId="0" fillId="0" borderId="0" xfId="0" applyNumberFormat="1"/>
  </cellXfs>
  <cellStyles count="4">
    <cellStyle name="Hyperlink 2" xfId="2" xr:uid="{2BA128E2-6384-40D9-A463-F0657219D3C7}"/>
    <cellStyle name="Normal" xfId="0" builtinId="0"/>
    <cellStyle name="Normal 2" xfId="1" xr:uid="{25123256-0A5A-4B9B-89CA-19F7C7FB6CFF}"/>
    <cellStyle name="Normal 3" xfId="3" xr:uid="{DBE39EFC-0EDB-43A1-9022-48F53AEC7BB2}"/>
  </cellStyles>
  <dxfs count="0"/>
  <tableStyles count="0" defaultTableStyle="TableStyleMedium2" defaultPivotStyle="PivotStyleLight16"/>
  <colors>
    <indexedColors>
      <rgbColor rgb="FF000000"/>
      <rgbColor rgb="FFFFFFFF"/>
      <rgbColor rgb="FFE2001A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A4"/>
      <rgbColor rgb="FFF0F0F0"/>
      <rgbColor rgb="FFE2EFDA"/>
      <rgbColor rgb="FFFCE4D6"/>
      <rgbColor rgb="FFF2F2F2"/>
      <rgbColor rgb="FFFAFAFA"/>
      <rgbColor rgb="FFCC99FF"/>
      <rgbColor rgb="FFEAD1DC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375623"/>
      <rgbColor rgb="FF40404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ne.smith@workday.com" TargetMode="External"/><Relationship Id="rId1" Type="http://schemas.openxmlformats.org/officeDocument/2006/relationships/hyperlink" Target="mailto:john.smith@qant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59999389629810485"/>
  </sheetPr>
  <dimension ref="A1:E56"/>
  <sheetViews>
    <sheetView showGridLines="0" zoomScaleNormal="100" workbookViewId="0">
      <pane ySplit="2" topLeftCell="A3" activePane="bottomLeft" state="frozen"/>
      <selection pane="bottomLeft" activeCell="A13" sqref="A13:E13"/>
    </sheetView>
  </sheetViews>
  <sheetFormatPr defaultColWidth="8.54296875" defaultRowHeight="14.5" x14ac:dyDescent="0.35"/>
  <cols>
    <col min="1" max="1" width="39.7265625" customWidth="1"/>
    <col min="2" max="2" width="34.54296875" customWidth="1"/>
    <col min="3" max="3" width="45.1796875" customWidth="1"/>
    <col min="4" max="4" width="33.7265625" customWidth="1"/>
    <col min="5" max="5" width="12.1796875" style="14" bestFit="1" customWidth="1"/>
  </cols>
  <sheetData>
    <row r="1" spans="1:5" ht="24" customHeight="1" x14ac:dyDescent="0.35">
      <c r="A1" s="29" t="s">
        <v>0</v>
      </c>
      <c r="B1" s="29"/>
      <c r="C1" s="29"/>
      <c r="D1" s="29"/>
      <c r="E1" s="30"/>
    </row>
    <row r="2" spans="1:5" ht="18" customHeight="1" x14ac:dyDescent="0.35">
      <c r="A2" s="31" t="s">
        <v>1</v>
      </c>
      <c r="B2" s="32" t="s">
        <v>242</v>
      </c>
      <c r="C2" s="31" t="s">
        <v>2</v>
      </c>
      <c r="D2" s="31" t="s">
        <v>3</v>
      </c>
      <c r="E2" s="31" t="s">
        <v>4</v>
      </c>
    </row>
    <row r="3" spans="1:5" ht="20.5" customHeight="1" x14ac:dyDescent="0.35">
      <c r="A3" s="33" t="s">
        <v>227</v>
      </c>
      <c r="B3" s="20" t="s">
        <v>5</v>
      </c>
      <c r="C3" s="34" t="s">
        <v>6</v>
      </c>
      <c r="D3" s="35" t="s">
        <v>7</v>
      </c>
      <c r="E3" s="36" t="s">
        <v>8</v>
      </c>
    </row>
    <row r="4" spans="1:5" ht="19.5" customHeight="1" x14ac:dyDescent="0.35">
      <c r="A4" s="48" t="s">
        <v>9</v>
      </c>
      <c r="B4" s="49"/>
      <c r="C4" s="49"/>
      <c r="D4" s="49"/>
      <c r="E4" s="49"/>
    </row>
    <row r="5" spans="1:5" ht="18" customHeight="1" x14ac:dyDescent="0.35">
      <c r="A5" s="33" t="s">
        <v>10</v>
      </c>
      <c r="B5" s="20"/>
      <c r="C5" s="34" t="s">
        <v>12</v>
      </c>
      <c r="D5" s="35" t="s">
        <v>11</v>
      </c>
      <c r="E5" s="36" t="s">
        <v>8</v>
      </c>
    </row>
    <row r="6" spans="1:5" ht="18" customHeight="1" x14ac:dyDescent="0.35">
      <c r="A6" s="37" t="s">
        <v>13</v>
      </c>
      <c r="B6" s="20" t="s">
        <v>14</v>
      </c>
      <c r="C6" s="34" t="s">
        <v>15</v>
      </c>
      <c r="D6" s="35" t="s">
        <v>16</v>
      </c>
      <c r="E6" s="36" t="s">
        <v>17</v>
      </c>
    </row>
    <row r="7" spans="1:5" ht="18" customHeight="1" x14ac:dyDescent="0.35">
      <c r="A7" s="37" t="s">
        <v>18</v>
      </c>
      <c r="B7" s="20" t="s">
        <v>19</v>
      </c>
      <c r="C7" s="34" t="s">
        <v>20</v>
      </c>
      <c r="D7" s="35" t="s">
        <v>19</v>
      </c>
      <c r="E7" s="36" t="s">
        <v>17</v>
      </c>
    </row>
    <row r="8" spans="1:5" ht="18" customHeight="1" x14ac:dyDescent="0.35">
      <c r="A8" s="37" t="s">
        <v>21</v>
      </c>
      <c r="B8" s="20" t="s">
        <v>22</v>
      </c>
      <c r="C8" s="34" t="s">
        <v>23</v>
      </c>
      <c r="D8" s="35" t="s">
        <v>24</v>
      </c>
      <c r="E8" s="36" t="s">
        <v>17</v>
      </c>
    </row>
    <row r="9" spans="1:5" ht="18" customHeight="1" x14ac:dyDescent="0.35">
      <c r="A9" s="37" t="s">
        <v>25</v>
      </c>
      <c r="B9" s="20" t="s">
        <v>27</v>
      </c>
      <c r="C9" s="34" t="s">
        <v>26</v>
      </c>
      <c r="D9" s="35" t="s">
        <v>27</v>
      </c>
      <c r="E9" s="36" t="s">
        <v>17</v>
      </c>
    </row>
    <row r="10" spans="1:5" ht="18" customHeight="1" x14ac:dyDescent="0.35">
      <c r="A10" s="37" t="s">
        <v>28</v>
      </c>
      <c r="B10" s="20" t="s">
        <v>29</v>
      </c>
      <c r="C10" s="34" t="s">
        <v>30</v>
      </c>
      <c r="D10" s="35" t="s">
        <v>31</v>
      </c>
      <c r="E10" s="36" t="s">
        <v>17</v>
      </c>
    </row>
    <row r="11" spans="1:5" ht="18" customHeight="1" x14ac:dyDescent="0.35">
      <c r="A11" s="33" t="s">
        <v>32</v>
      </c>
      <c r="B11" s="20" t="s">
        <v>33</v>
      </c>
      <c r="C11" s="34" t="s">
        <v>34</v>
      </c>
      <c r="D11" s="35" t="s">
        <v>33</v>
      </c>
      <c r="E11" s="36" t="s">
        <v>8</v>
      </c>
    </row>
    <row r="12" spans="1:5" ht="14.5" customHeight="1" x14ac:dyDescent="0.35">
      <c r="A12" s="38"/>
      <c r="B12" s="38"/>
      <c r="C12" s="38"/>
      <c r="D12" s="38"/>
      <c r="E12" s="36"/>
    </row>
    <row r="13" spans="1:5" ht="19.5" customHeight="1" x14ac:dyDescent="0.35">
      <c r="A13" s="52" t="s">
        <v>35</v>
      </c>
      <c r="B13" s="45"/>
      <c r="C13" s="45"/>
      <c r="D13" s="45"/>
      <c r="E13" s="46"/>
    </row>
    <row r="14" spans="1:5" ht="18" customHeight="1" x14ac:dyDescent="0.35">
      <c r="A14" s="33" t="s">
        <v>36</v>
      </c>
      <c r="B14" s="20" t="s">
        <v>38</v>
      </c>
      <c r="C14" s="34" t="s">
        <v>37</v>
      </c>
      <c r="D14" s="35" t="s">
        <v>38</v>
      </c>
      <c r="E14" s="36" t="s">
        <v>17</v>
      </c>
    </row>
    <row r="15" spans="1:5" ht="18" customHeight="1" x14ac:dyDescent="0.35">
      <c r="A15" s="33" t="s">
        <v>39</v>
      </c>
      <c r="B15" s="20" t="s">
        <v>41</v>
      </c>
      <c r="C15" s="34" t="s">
        <v>40</v>
      </c>
      <c r="D15" s="35" t="s">
        <v>41</v>
      </c>
      <c r="E15" s="36" t="s">
        <v>17</v>
      </c>
    </row>
    <row r="16" spans="1:5" ht="18" customHeight="1" x14ac:dyDescent="0.35">
      <c r="A16" s="37" t="s">
        <v>42</v>
      </c>
      <c r="B16" s="20" t="s">
        <v>44</v>
      </c>
      <c r="C16" s="34" t="s">
        <v>43</v>
      </c>
      <c r="D16" s="35" t="s">
        <v>44</v>
      </c>
      <c r="E16" s="36" t="s">
        <v>17</v>
      </c>
    </row>
    <row r="17" spans="1:5" ht="60.75" customHeight="1" x14ac:dyDescent="0.35">
      <c r="A17" s="37" t="s">
        <v>45</v>
      </c>
      <c r="B17" s="20" t="s">
        <v>47</v>
      </c>
      <c r="C17" s="34" t="s">
        <v>46</v>
      </c>
      <c r="D17" s="35" t="s">
        <v>47</v>
      </c>
      <c r="E17" s="36" t="s">
        <v>17</v>
      </c>
    </row>
    <row r="18" spans="1:5" ht="18" customHeight="1" x14ac:dyDescent="0.35">
      <c r="A18" s="37" t="s">
        <v>48</v>
      </c>
      <c r="B18" s="20" t="s">
        <v>50</v>
      </c>
      <c r="C18" s="34" t="s">
        <v>49</v>
      </c>
      <c r="D18" s="35" t="s">
        <v>50</v>
      </c>
      <c r="E18" s="36" t="s">
        <v>17</v>
      </c>
    </row>
    <row r="19" spans="1:5" ht="18" customHeight="1" x14ac:dyDescent="0.35">
      <c r="A19" s="37" t="s">
        <v>51</v>
      </c>
      <c r="B19" s="20" t="s">
        <v>53</v>
      </c>
      <c r="C19" s="34" t="s">
        <v>52</v>
      </c>
      <c r="D19" s="35" t="s">
        <v>53</v>
      </c>
      <c r="E19" s="36" t="s">
        <v>17</v>
      </c>
    </row>
    <row r="20" spans="1:5" ht="18" customHeight="1" x14ac:dyDescent="0.35">
      <c r="A20" s="33" t="s">
        <v>54</v>
      </c>
      <c r="B20" s="20" t="s">
        <v>56</v>
      </c>
      <c r="C20" s="34" t="s">
        <v>55</v>
      </c>
      <c r="D20" s="35" t="s">
        <v>56</v>
      </c>
      <c r="E20" s="36" t="s">
        <v>17</v>
      </c>
    </row>
    <row r="21" spans="1:5" ht="14.5" customHeight="1" x14ac:dyDescent="0.35">
      <c r="A21" s="38"/>
      <c r="B21" s="38"/>
      <c r="C21" s="38"/>
      <c r="D21" s="38"/>
      <c r="E21" s="36"/>
    </row>
    <row r="22" spans="1:5" ht="19.5" customHeight="1" x14ac:dyDescent="0.35">
      <c r="A22" s="47" t="s">
        <v>57</v>
      </c>
      <c r="B22" s="45"/>
      <c r="C22" s="45"/>
      <c r="D22" s="45"/>
      <c r="E22" s="46"/>
    </row>
    <row r="23" spans="1:5" ht="18" customHeight="1" x14ac:dyDescent="0.35">
      <c r="A23" s="33" t="s">
        <v>58</v>
      </c>
      <c r="B23" s="42" t="s">
        <v>125</v>
      </c>
      <c r="C23" s="34" t="s">
        <v>59</v>
      </c>
      <c r="D23" s="39" t="s">
        <v>60</v>
      </c>
      <c r="E23" s="36" t="s">
        <v>8</v>
      </c>
    </row>
    <row r="24" spans="1:5" ht="18" customHeight="1" x14ac:dyDescent="0.35">
      <c r="A24" s="33" t="s">
        <v>61</v>
      </c>
      <c r="B24" s="20" t="s">
        <v>228</v>
      </c>
      <c r="C24" s="34" t="s">
        <v>62</v>
      </c>
      <c r="D24" s="39" t="s">
        <v>63</v>
      </c>
      <c r="E24" s="36" t="s">
        <v>8</v>
      </c>
    </row>
    <row r="25" spans="1:5" ht="18" customHeight="1" x14ac:dyDescent="0.35">
      <c r="A25" s="37" t="s">
        <v>64</v>
      </c>
      <c r="B25" s="20"/>
      <c r="C25" s="34" t="s">
        <v>65</v>
      </c>
      <c r="D25" s="39" t="s">
        <v>66</v>
      </c>
      <c r="E25" s="36" t="s">
        <v>17</v>
      </c>
    </row>
    <row r="26" spans="1:5" ht="18" customHeight="1" x14ac:dyDescent="0.35">
      <c r="A26" s="37" t="s">
        <v>67</v>
      </c>
      <c r="B26" s="20"/>
      <c r="C26" s="34" t="s">
        <v>68</v>
      </c>
      <c r="D26" s="39" t="s">
        <v>69</v>
      </c>
      <c r="E26" s="36" t="s">
        <v>17</v>
      </c>
    </row>
    <row r="27" spans="1:5" ht="18" customHeight="1" x14ac:dyDescent="0.35">
      <c r="A27" s="37" t="s">
        <v>70</v>
      </c>
      <c r="B27" s="20"/>
      <c r="C27" s="34" t="s">
        <v>71</v>
      </c>
      <c r="D27" s="39" t="s">
        <v>72</v>
      </c>
      <c r="E27" s="36" t="s">
        <v>17</v>
      </c>
    </row>
    <row r="28" spans="1:5" ht="14.5" customHeight="1" x14ac:dyDescent="0.35">
      <c r="A28" s="38"/>
      <c r="B28" s="38"/>
      <c r="C28" s="38"/>
      <c r="D28" s="38"/>
      <c r="E28" s="36"/>
    </row>
    <row r="29" spans="1:5" ht="19.5" customHeight="1" x14ac:dyDescent="0.35">
      <c r="A29" s="47" t="str">
        <f>"3 A. INTEGRATION DESIGN - SPECIFIC TO " &amp; UPPER(IF(ISBLANK($B$23), "Integration Pattern", $B$23))</f>
        <v>3 A. INTEGRATION DESIGN - SPECIFIC TO BATCH FILE</v>
      </c>
      <c r="B29" s="45"/>
      <c r="C29" s="45"/>
      <c r="D29" s="45"/>
      <c r="E29" s="46"/>
    </row>
    <row r="30" spans="1:5" ht="14.5" customHeight="1" x14ac:dyDescent="0.35">
      <c r="A30" s="40" t="s">
        <v>126</v>
      </c>
      <c r="B30" s="20"/>
      <c r="C30" s="34" t="s">
        <v>127</v>
      </c>
      <c r="D30" s="39" t="s">
        <v>128</v>
      </c>
      <c r="E30" s="36"/>
    </row>
    <row r="31" spans="1:5" ht="14.5" customHeight="1" x14ac:dyDescent="0.35">
      <c r="A31" s="40" t="s">
        <v>131</v>
      </c>
      <c r="B31" s="20"/>
      <c r="C31" s="34" t="s">
        <v>132</v>
      </c>
      <c r="D31" s="39" t="s">
        <v>133</v>
      </c>
      <c r="E31" s="36"/>
    </row>
    <row r="32" spans="1:5" ht="14.5" customHeight="1" x14ac:dyDescent="0.35">
      <c r="A32" s="40" t="s">
        <v>134</v>
      </c>
      <c r="B32" s="20"/>
      <c r="C32" s="34" t="s">
        <v>135</v>
      </c>
      <c r="D32" s="39" t="s">
        <v>136</v>
      </c>
      <c r="E32" s="36"/>
    </row>
    <row r="33" spans="1:5" ht="14.5" customHeight="1" x14ac:dyDescent="0.35">
      <c r="A33" s="40" t="s">
        <v>137</v>
      </c>
      <c r="B33" s="20"/>
      <c r="C33" s="34" t="s">
        <v>138</v>
      </c>
      <c r="D33" s="39" t="s">
        <v>139</v>
      </c>
      <c r="E33" s="36"/>
    </row>
    <row r="34" spans="1:5" ht="14.5" customHeight="1" x14ac:dyDescent="0.35">
      <c r="A34" s="37" t="s">
        <v>265</v>
      </c>
      <c r="B34" s="20"/>
      <c r="C34" s="34" t="s">
        <v>266</v>
      </c>
      <c r="D34" s="39" t="str">
        <f>IFERROR(INDEX(#REF!, MATCH('1. Data Integration'!$B$23&amp;"|"&amp;11,#REF!, 0)),"")</f>
        <v/>
      </c>
      <c r="E34" s="36"/>
    </row>
    <row r="35" spans="1:5" ht="14.5" customHeight="1" x14ac:dyDescent="0.35">
      <c r="A35" s="38"/>
      <c r="B35" s="38"/>
      <c r="C35" s="38"/>
      <c r="D35" s="38"/>
      <c r="E35" s="36"/>
    </row>
    <row r="36" spans="1:5" ht="20.5" customHeight="1" x14ac:dyDescent="0.35">
      <c r="A36" s="51" t="s">
        <v>74</v>
      </c>
      <c r="B36" s="45"/>
      <c r="C36" s="45"/>
      <c r="D36" s="45"/>
      <c r="E36" s="46"/>
    </row>
    <row r="37" spans="1:5" ht="18" customHeight="1" x14ac:dyDescent="0.35">
      <c r="A37" s="33" t="s">
        <v>75</v>
      </c>
      <c r="B37" s="20" t="s">
        <v>76</v>
      </c>
      <c r="C37" s="34" t="s">
        <v>77</v>
      </c>
      <c r="D37" s="35" t="s">
        <v>76</v>
      </c>
      <c r="E37" s="36" t="s">
        <v>17</v>
      </c>
    </row>
    <row r="38" spans="1:5" ht="18" customHeight="1" x14ac:dyDescent="0.35">
      <c r="A38" s="37" t="s">
        <v>78</v>
      </c>
      <c r="B38" s="20"/>
      <c r="C38" s="34"/>
      <c r="D38" s="35"/>
      <c r="E38" s="36"/>
    </row>
    <row r="39" spans="1:5" ht="18" customHeight="1" x14ac:dyDescent="0.35">
      <c r="A39" s="37" t="s">
        <v>79</v>
      </c>
      <c r="B39" s="20"/>
      <c r="C39" s="34" t="s">
        <v>80</v>
      </c>
      <c r="D39" s="35" t="s">
        <v>81</v>
      </c>
      <c r="E39" s="36" t="s">
        <v>17</v>
      </c>
    </row>
    <row r="40" spans="1:5" ht="18" customHeight="1" x14ac:dyDescent="0.35">
      <c r="A40" s="33" t="s">
        <v>82</v>
      </c>
      <c r="B40" s="20"/>
      <c r="C40" s="34" t="s">
        <v>83</v>
      </c>
      <c r="D40" s="35" t="s">
        <v>84</v>
      </c>
      <c r="E40" s="36" t="s">
        <v>17</v>
      </c>
    </row>
    <row r="41" spans="1:5" ht="18" customHeight="1" x14ac:dyDescent="0.35">
      <c r="A41" s="37" t="s">
        <v>85</v>
      </c>
      <c r="B41" s="20"/>
      <c r="C41" s="34" t="s">
        <v>86</v>
      </c>
      <c r="D41" s="35" t="s">
        <v>87</v>
      </c>
      <c r="E41" s="36" t="s">
        <v>17</v>
      </c>
    </row>
    <row r="42" spans="1:5" ht="18" customHeight="1" x14ac:dyDescent="0.35">
      <c r="A42" s="37" t="s">
        <v>88</v>
      </c>
      <c r="B42" s="20"/>
      <c r="C42" s="34" t="s">
        <v>89</v>
      </c>
      <c r="D42" s="35" t="s">
        <v>90</v>
      </c>
      <c r="E42" s="36" t="s">
        <v>17</v>
      </c>
    </row>
    <row r="43" spans="1:5" ht="14.5" customHeight="1" x14ac:dyDescent="0.35">
      <c r="A43" s="38"/>
      <c r="B43" s="38"/>
      <c r="C43" s="38"/>
      <c r="D43" s="38"/>
      <c r="E43" s="36"/>
    </row>
    <row r="44" spans="1:5" ht="19.5" customHeight="1" x14ac:dyDescent="0.35">
      <c r="A44" s="50" t="s">
        <v>91</v>
      </c>
      <c r="B44" s="45"/>
      <c r="C44" s="45"/>
      <c r="D44" s="45"/>
      <c r="E44" s="46"/>
    </row>
    <row r="45" spans="1:5" ht="18" customHeight="1" x14ac:dyDescent="0.35">
      <c r="A45" s="37" t="s">
        <v>92</v>
      </c>
      <c r="B45" s="20" t="s">
        <v>93</v>
      </c>
      <c r="C45" s="34" t="s">
        <v>94</v>
      </c>
      <c r="D45" s="35" t="s">
        <v>93</v>
      </c>
      <c r="E45" s="36" t="s">
        <v>17</v>
      </c>
    </row>
    <row r="46" spans="1:5" ht="18" customHeight="1" x14ac:dyDescent="0.35">
      <c r="A46" s="37" t="s">
        <v>95</v>
      </c>
      <c r="B46" s="20" t="s">
        <v>96</v>
      </c>
      <c r="C46" s="34" t="s">
        <v>97</v>
      </c>
      <c r="D46" s="35" t="s">
        <v>98</v>
      </c>
      <c r="E46" s="36" t="s">
        <v>17</v>
      </c>
    </row>
    <row r="47" spans="1:5" ht="18" customHeight="1" x14ac:dyDescent="0.35">
      <c r="A47" s="37" t="s">
        <v>99</v>
      </c>
      <c r="B47" s="20" t="s">
        <v>100</v>
      </c>
      <c r="C47" s="34" t="s">
        <v>101</v>
      </c>
      <c r="D47" s="35" t="s">
        <v>102</v>
      </c>
      <c r="E47" s="36" t="s">
        <v>17</v>
      </c>
    </row>
    <row r="48" spans="1:5" ht="18" customHeight="1" x14ac:dyDescent="0.35">
      <c r="A48" s="37" t="s">
        <v>103</v>
      </c>
      <c r="B48" s="20" t="s">
        <v>104</v>
      </c>
      <c r="C48" s="34" t="s">
        <v>105</v>
      </c>
      <c r="D48" s="35" t="s">
        <v>106</v>
      </c>
      <c r="E48" s="36" t="s">
        <v>8</v>
      </c>
    </row>
    <row r="49" spans="1:5" ht="18" customHeight="1" x14ac:dyDescent="0.35">
      <c r="A49" s="33" t="s">
        <v>107</v>
      </c>
      <c r="B49" s="20" t="s">
        <v>108</v>
      </c>
      <c r="C49" s="34" t="s">
        <v>109</v>
      </c>
      <c r="D49" s="35" t="s">
        <v>110</v>
      </c>
      <c r="E49" s="36" t="s">
        <v>8</v>
      </c>
    </row>
    <row r="50" spans="1:5" ht="18" customHeight="1" x14ac:dyDescent="0.35">
      <c r="A50" s="37" t="s">
        <v>111</v>
      </c>
      <c r="B50" s="21" t="s">
        <v>112</v>
      </c>
      <c r="C50" s="34" t="s">
        <v>113</v>
      </c>
      <c r="D50" s="35" t="s">
        <v>114</v>
      </c>
      <c r="E50" s="36" t="s">
        <v>8</v>
      </c>
    </row>
    <row r="51" spans="1:5" ht="18" customHeight="1" x14ac:dyDescent="0.35">
      <c r="A51" s="37" t="s">
        <v>115</v>
      </c>
      <c r="B51" s="20" t="s">
        <v>116</v>
      </c>
      <c r="C51" s="34" t="s">
        <v>117</v>
      </c>
      <c r="D51" s="35" t="s">
        <v>116</v>
      </c>
      <c r="E51" s="36" t="s">
        <v>8</v>
      </c>
    </row>
    <row r="52" spans="1:5" ht="14.5" customHeight="1" x14ac:dyDescent="0.35">
      <c r="A52" s="37" t="s">
        <v>264</v>
      </c>
      <c r="B52" s="41" t="b">
        <v>1</v>
      </c>
      <c r="C52" s="34" t="s">
        <v>263</v>
      </c>
      <c r="D52" s="35" t="b">
        <v>1</v>
      </c>
      <c r="E52" s="36" t="s">
        <v>8</v>
      </c>
    </row>
    <row r="53" spans="1:5" ht="14.5" customHeight="1" x14ac:dyDescent="0.35">
      <c r="A53" s="44" t="s">
        <v>118</v>
      </c>
      <c r="B53" s="45"/>
      <c r="C53" s="45"/>
      <c r="D53" s="45"/>
      <c r="E53" s="46"/>
    </row>
    <row r="54" spans="1:5" ht="14.5" customHeight="1" x14ac:dyDescent="0.35">
      <c r="A54" s="33" t="s">
        <v>119</v>
      </c>
      <c r="B54" s="20" t="s">
        <v>120</v>
      </c>
      <c r="C54" s="34" t="s">
        <v>121</v>
      </c>
      <c r="D54" s="35" t="s">
        <v>120</v>
      </c>
      <c r="E54" s="36" t="s">
        <v>8</v>
      </c>
    </row>
    <row r="55" spans="1:5" ht="14.5" customHeight="1" x14ac:dyDescent="0.35">
      <c r="A55" s="37" t="s">
        <v>122</v>
      </c>
      <c r="B55" s="20" t="s">
        <v>112</v>
      </c>
      <c r="C55" s="34" t="s">
        <v>123</v>
      </c>
      <c r="D55" s="35" t="s">
        <v>124</v>
      </c>
      <c r="E55" s="36" t="s">
        <v>8</v>
      </c>
    </row>
    <row r="56" spans="1:5" ht="14.5" customHeight="1" x14ac:dyDescent="0.35"/>
  </sheetData>
  <sheetProtection sheet="1" objects="1" scenarios="1" selectLockedCells="1"/>
  <mergeCells count="7">
    <mergeCell ref="A53:E53"/>
    <mergeCell ref="A22:E22"/>
    <mergeCell ref="A4:E4"/>
    <mergeCell ref="A44:E44"/>
    <mergeCell ref="A29:E29"/>
    <mergeCell ref="A36:E36"/>
    <mergeCell ref="A13:E13"/>
  </mergeCells>
  <dataValidations count="1">
    <dataValidation type="list" allowBlank="1" showInputMessage="1" showErrorMessage="1" errorTitle="Invalid connection type" error="Select either Push or Pull." promptTitle="Connection type" prompt="Choose Push or Pull." sqref="B24" xr:uid="{5D2500AB-4FF2-4DD7-A5BC-35EB08CED12D}">
      <formula1>"Push,Pull"</formula1>
    </dataValidation>
  </dataValidations>
  <hyperlinks>
    <hyperlink ref="D18" r:id="rId1" xr:uid="{00000000-0004-0000-0000-000000000000}"/>
    <hyperlink ref="D19" r:id="rId2" xr:uid="{00000000-0004-0000-0000-000001000000}"/>
  </hyperlinks>
  <pageMargins left="0.75" right="0.75" top="1" bottom="1" header="0.511811023622047" footer="0.511811023622047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"/>
  <sheetViews>
    <sheetView workbookViewId="0">
      <selection activeCell="H24" sqref="H24"/>
    </sheetView>
  </sheetViews>
  <sheetFormatPr defaultRowHeight="14.5" x14ac:dyDescent="0.35"/>
  <sheetData>
    <row r="1" spans="1:1" x14ac:dyDescent="0.35">
      <c r="A1" s="15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942E-040F-4ADE-A183-F9CCD8C66C66}">
  <sheetPr>
    <tabColor theme="6" tint="0.59999389629810485"/>
  </sheetPr>
  <dimension ref="A1:P5"/>
  <sheetViews>
    <sheetView showGridLines="0" zoomScale="106" zoomScaleNormal="100" workbookViewId="0">
      <selection activeCell="B12" sqref="B12"/>
    </sheetView>
  </sheetViews>
  <sheetFormatPr defaultColWidth="8.54296875" defaultRowHeight="14.5" x14ac:dyDescent="0.35"/>
  <cols>
    <col min="1" max="1" width="24.26953125" customWidth="1"/>
    <col min="2" max="2" width="52.08984375" customWidth="1"/>
    <col min="3" max="3" width="28.81640625" customWidth="1"/>
    <col min="4" max="4" width="28.6328125" customWidth="1"/>
    <col min="5" max="5" width="27.453125" customWidth="1"/>
    <col min="6" max="6" width="14.26953125" customWidth="1"/>
    <col min="7" max="7" width="15" customWidth="1"/>
    <col min="8" max="8" width="14.81640625" customWidth="1"/>
    <col min="9" max="9" width="15.81640625" customWidth="1"/>
    <col min="10" max="10" width="21.7265625" customWidth="1"/>
    <col min="11" max="13" width="21.26953125" customWidth="1"/>
    <col min="14" max="14" width="17.453125" customWidth="1"/>
    <col min="15" max="15" width="20.81640625" customWidth="1"/>
  </cols>
  <sheetData>
    <row r="1" spans="1:16" x14ac:dyDescent="0.35">
      <c r="A1" s="13" t="s">
        <v>143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53"/>
      <c r="P1" s="53"/>
    </row>
    <row r="2" spans="1:16" x14ac:dyDescent="0.35">
      <c r="A2" s="16" t="s">
        <v>162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54"/>
      <c r="P2" s="54"/>
    </row>
    <row r="3" spans="1:16" ht="14.5" customHeight="1" x14ac:dyDescent="0.35">
      <c r="A3" s="28" t="s">
        <v>278</v>
      </c>
      <c r="B3" s="12" t="s">
        <v>267</v>
      </c>
      <c r="C3" s="12" t="s">
        <v>144</v>
      </c>
      <c r="D3" s="12" t="s">
        <v>249</v>
      </c>
      <c r="E3" s="12" t="s">
        <v>248</v>
      </c>
      <c r="F3" s="12" t="s">
        <v>254</v>
      </c>
      <c r="G3" s="12" t="s">
        <v>255</v>
      </c>
      <c r="H3" s="12" t="s">
        <v>246</v>
      </c>
      <c r="I3" s="12" t="s">
        <v>226</v>
      </c>
      <c r="J3" s="12" t="s">
        <v>247</v>
      </c>
      <c r="K3" s="12" t="s">
        <v>260</v>
      </c>
      <c r="L3" s="12" t="s">
        <v>140</v>
      </c>
      <c r="M3" s="22" t="s">
        <v>129</v>
      </c>
      <c r="N3" s="23" t="s">
        <v>245</v>
      </c>
      <c r="O3" s="23" t="s">
        <v>243</v>
      </c>
      <c r="P3" s="23" t="s">
        <v>277</v>
      </c>
    </row>
    <row r="4" spans="1:16" s="17" customFormat="1" ht="40" customHeight="1" x14ac:dyDescent="0.35">
      <c r="A4" s="10" t="s">
        <v>250</v>
      </c>
      <c r="B4" s="10" t="s">
        <v>268</v>
      </c>
      <c r="C4" s="10" t="s">
        <v>251</v>
      </c>
      <c r="D4" s="10" t="s">
        <v>252</v>
      </c>
      <c r="E4" s="10" t="s">
        <v>253</v>
      </c>
      <c r="F4" s="10" t="s">
        <v>155</v>
      </c>
      <c r="G4" s="10" t="s">
        <v>256</v>
      </c>
      <c r="H4" s="10" t="s">
        <v>257</v>
      </c>
      <c r="I4" s="10" t="s">
        <v>258</v>
      </c>
      <c r="J4" s="10" t="s">
        <v>247</v>
      </c>
      <c r="K4" s="10" t="s">
        <v>259</v>
      </c>
      <c r="L4" s="10" t="s">
        <v>261</v>
      </c>
      <c r="M4" s="10" t="s">
        <v>262</v>
      </c>
      <c r="N4" s="10"/>
      <c r="O4" s="10"/>
    </row>
    <row r="5" spans="1:16" ht="14.5" customHeight="1" x14ac:dyDescent="0.35">
      <c r="A5" s="19" t="s">
        <v>223</v>
      </c>
      <c r="B5" s="24" t="s">
        <v>270</v>
      </c>
      <c r="C5" s="19">
        <v>1</v>
      </c>
      <c r="D5" s="19" t="s">
        <v>275</v>
      </c>
      <c r="E5" s="19" t="s">
        <v>276</v>
      </c>
      <c r="F5" s="19" t="s">
        <v>73</v>
      </c>
      <c r="G5" s="19" t="s">
        <v>271</v>
      </c>
      <c r="H5" s="19" t="s">
        <v>272</v>
      </c>
      <c r="I5" s="19" t="s">
        <v>272</v>
      </c>
      <c r="J5" s="19" t="s">
        <v>172</v>
      </c>
      <c r="K5" s="19" t="b">
        <v>1</v>
      </c>
      <c r="L5" s="19" t="s">
        <v>273</v>
      </c>
      <c r="M5" s="19" t="s">
        <v>130</v>
      </c>
      <c r="O5" t="s">
        <v>244</v>
      </c>
      <c r="P5" t="b">
        <v>1</v>
      </c>
    </row>
  </sheetData>
  <mergeCells count="2">
    <mergeCell ref="O1:P1"/>
    <mergeCell ref="O2:P2"/>
  </mergeCells>
  <dataValidations count="7">
    <dataValidation type="list" allowBlank="1" showInputMessage="1" showErrorMessage="1" errorTitle="Invalid file format" error="Select a file format from the list." sqref="F5:F500" xr:uid="{72FD367A-8C1F-4FEA-9699-3047C421D58E}">
      <formula1>"CSV,TXT,JSON,JSONL,XML,Parquet,Avro,Excel (.xlsx),Fixed-width text"</formula1>
    </dataValidation>
    <dataValidation type="list" allowBlank="1" showInputMessage="1" showErrorMessage="1" errorTitle="Invalid extraction type" error="Select Full or Incremental." sqref="G5:G500" xr:uid="{DA98C676-6247-42A7-A914-9338AF1EA538}">
      <formula1>"Full,Incremental"</formula1>
    </dataValidation>
    <dataValidation type="list" allowBlank="1" showInputMessage="1" showErrorMessage="1" errorTitle="Invalid compression" error="Select a compression option from the list." sqref="H5:H500" xr:uid="{7DC031CF-1C6A-43FD-9BFD-A3EFE7010F9A}">
      <formula1>"None,GZIP,ZIP,Snappy,BZIP2,Zstandard"</formula1>
    </dataValidation>
    <dataValidation type="list" allowBlank="1" showInputMessage="1" showErrorMessage="1" errorTitle="Invalid encryption" error="Select an encryption option from the list." sqref="I5:I500" xr:uid="{CC5F1BA5-3022-4BDB-981E-A0031579ED3F}">
      <formula1>"None,GPG/PGP,AES-256"</formula1>
    </dataValidation>
    <dataValidation type="list" allowBlank="1" showInputMessage="1" showErrorMessage="1" errorTitle="Invalid header value" error="Select TRUE or FALSE." sqref="K5:K500" xr:uid="{1BDBD752-0E89-4E8A-BB70-E886A843879F}">
      <formula1>"TRUE,FALSE"</formula1>
    </dataValidation>
    <dataValidation type="list" allowBlank="1" showInputMessage="1" showErrorMessage="1" errorTitle="Invalid delimiter" error="Select a delimiter from the list." sqref="L5:L500" xr:uid="{A7259D61-4277-4F3B-93D6-280F2CB518F7}">
      <formula1>"Comma,Pipe,Tab,Semicolon,Caret,Tilde"</formula1>
    </dataValidation>
    <dataValidation type="list" allowBlank="1" showInputMessage="1" showErrorMessage="1" errorTitle="Invalid frequency" error="Select Daily, Monthly, or Weekly." sqref="O5:O500" xr:uid="{4A61BA34-4B21-4B93-A891-460494A9985B}">
      <formula1>"Daily,Monthly,Weekly"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K37"/>
  <sheetViews>
    <sheetView showGridLines="0" zoomScale="77" zoomScaleNormal="100" workbookViewId="0">
      <selection activeCell="J5" sqref="J5"/>
    </sheetView>
  </sheetViews>
  <sheetFormatPr defaultColWidth="8.54296875" defaultRowHeight="14.5" x14ac:dyDescent="0.35"/>
  <cols>
    <col min="1" max="1" width="24.26953125" customWidth="1"/>
    <col min="2" max="2" width="28.81640625" customWidth="1"/>
    <col min="3" max="3" width="12.26953125" customWidth="1"/>
    <col min="4" max="4" width="27.453125" customWidth="1"/>
    <col min="5" max="5" width="14.26953125" customWidth="1"/>
    <col min="6" max="6" width="15" customWidth="1"/>
    <col min="7" max="7" width="14.81640625" customWidth="1"/>
    <col min="8" max="8" width="15.81640625" customWidth="1"/>
    <col min="9" max="9" width="27.453125" customWidth="1"/>
    <col min="10" max="10" width="21.26953125" customWidth="1"/>
  </cols>
  <sheetData>
    <row r="1" spans="1:11" x14ac:dyDescent="0.35">
      <c r="A1" s="13" t="s">
        <v>143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x14ac:dyDescent="0.35">
      <c r="A2" s="16" t="s">
        <v>162</v>
      </c>
      <c r="B2" s="16"/>
      <c r="C2" s="16"/>
      <c r="D2" s="16"/>
      <c r="E2" s="16"/>
      <c r="F2" s="16"/>
      <c r="G2" s="16"/>
      <c r="H2" s="16"/>
      <c r="I2" s="16"/>
      <c r="J2" s="16"/>
    </row>
    <row r="3" spans="1:11" ht="14.5" customHeight="1" x14ac:dyDescent="0.35">
      <c r="A3" s="12" t="s">
        <v>225</v>
      </c>
      <c r="B3" s="11" t="s">
        <v>224</v>
      </c>
      <c r="C3" s="12" t="s">
        <v>144</v>
      </c>
      <c r="D3" s="12" t="s">
        <v>145</v>
      </c>
      <c r="E3" s="12" t="s">
        <v>269</v>
      </c>
      <c r="F3" s="12" t="s">
        <v>146</v>
      </c>
      <c r="G3" s="12" t="s">
        <v>147</v>
      </c>
      <c r="H3" s="12" t="s">
        <v>148</v>
      </c>
      <c r="I3" s="12" t="s">
        <v>149</v>
      </c>
      <c r="J3" s="12" t="s">
        <v>150</v>
      </c>
    </row>
    <row r="4" spans="1:11" s="17" customFormat="1" ht="40" customHeight="1" x14ac:dyDescent="0.35">
      <c r="A4" s="10" t="s">
        <v>151</v>
      </c>
      <c r="B4" s="10" t="s">
        <v>152</v>
      </c>
      <c r="C4" s="10" t="s">
        <v>153</v>
      </c>
      <c r="D4" s="10" t="s">
        <v>154</v>
      </c>
      <c r="E4" s="10" t="s">
        <v>155</v>
      </c>
      <c r="F4" s="10" t="s">
        <v>156</v>
      </c>
      <c r="G4" s="10" t="s">
        <v>157</v>
      </c>
      <c r="H4" s="10" t="s">
        <v>158</v>
      </c>
      <c r="I4" s="10" t="s">
        <v>159</v>
      </c>
      <c r="J4" s="10" t="s">
        <v>160</v>
      </c>
      <c r="K4" s="18"/>
    </row>
    <row r="5" spans="1:11" ht="14.5" customHeight="1" x14ac:dyDescent="0.35">
      <c r="A5" s="19" t="s">
        <v>11</v>
      </c>
      <c r="B5" s="19" t="s">
        <v>223</v>
      </c>
      <c r="C5" s="19">
        <v>1</v>
      </c>
      <c r="D5" s="19" t="s">
        <v>170</v>
      </c>
      <c r="E5" s="19" t="s">
        <v>171</v>
      </c>
      <c r="F5" s="19" t="s">
        <v>172</v>
      </c>
      <c r="G5" s="19" t="s">
        <v>141</v>
      </c>
      <c r="H5" s="19" t="s">
        <v>173</v>
      </c>
      <c r="I5" s="19" t="s">
        <v>172</v>
      </c>
      <c r="J5" s="19" t="s">
        <v>172</v>
      </c>
    </row>
    <row r="6" spans="1:11" ht="14.5" customHeight="1" x14ac:dyDescent="0.35">
      <c r="A6" s="19" t="s">
        <v>11</v>
      </c>
      <c r="B6" s="19" t="s">
        <v>223</v>
      </c>
      <c r="C6" s="19">
        <v>2</v>
      </c>
      <c r="D6" s="19" t="s">
        <v>174</v>
      </c>
      <c r="E6" s="19" t="s">
        <v>171</v>
      </c>
      <c r="F6" s="19" t="s">
        <v>141</v>
      </c>
      <c r="G6" s="19" t="s">
        <v>141</v>
      </c>
      <c r="H6" s="19" t="s">
        <v>173</v>
      </c>
      <c r="I6" s="19" t="s">
        <v>172</v>
      </c>
      <c r="J6" s="19" t="s">
        <v>172</v>
      </c>
    </row>
    <row r="7" spans="1:11" ht="14.5" customHeight="1" x14ac:dyDescent="0.35">
      <c r="A7" s="19" t="s">
        <v>11</v>
      </c>
      <c r="B7" s="19" t="s">
        <v>223</v>
      </c>
      <c r="C7" s="19">
        <v>3</v>
      </c>
      <c r="D7" s="19" t="s">
        <v>175</v>
      </c>
      <c r="E7" s="19" t="s">
        <v>176</v>
      </c>
      <c r="F7" s="19" t="s">
        <v>172</v>
      </c>
      <c r="G7" s="19" t="s">
        <v>141</v>
      </c>
      <c r="H7" s="19" t="s">
        <v>177</v>
      </c>
      <c r="I7" s="19" t="s">
        <v>172</v>
      </c>
      <c r="J7" s="19" t="s">
        <v>172</v>
      </c>
    </row>
    <row r="8" spans="1:11" ht="14.5" customHeight="1" x14ac:dyDescent="0.35">
      <c r="A8" s="19" t="s">
        <v>11</v>
      </c>
      <c r="B8" s="19" t="s">
        <v>223</v>
      </c>
      <c r="C8" s="19">
        <v>4</v>
      </c>
      <c r="D8" s="19" t="s">
        <v>178</v>
      </c>
      <c r="E8" s="19" t="s">
        <v>179</v>
      </c>
      <c r="F8" s="19" t="s">
        <v>172</v>
      </c>
      <c r="G8" s="19" t="s">
        <v>141</v>
      </c>
      <c r="H8" s="19" t="s">
        <v>180</v>
      </c>
      <c r="I8" s="19" t="s">
        <v>172</v>
      </c>
      <c r="J8" s="19" t="s">
        <v>172</v>
      </c>
    </row>
    <row r="9" spans="1:11" ht="14.5" customHeight="1" x14ac:dyDescent="0.35">
      <c r="A9" s="19" t="s">
        <v>11</v>
      </c>
      <c r="B9" s="19" t="s">
        <v>223</v>
      </c>
      <c r="C9" s="19">
        <v>5</v>
      </c>
      <c r="D9" s="19" t="s">
        <v>181</v>
      </c>
      <c r="E9" s="19" t="s">
        <v>182</v>
      </c>
      <c r="F9" s="19" t="s">
        <v>172</v>
      </c>
      <c r="G9" s="19" t="s">
        <v>141</v>
      </c>
      <c r="H9" s="19" t="s">
        <v>183</v>
      </c>
      <c r="I9" s="19" t="s">
        <v>172</v>
      </c>
      <c r="J9" s="19" t="s">
        <v>172</v>
      </c>
    </row>
    <row r="10" spans="1:11" ht="14.5" customHeight="1" x14ac:dyDescent="0.35">
      <c r="A10" s="19" t="s">
        <v>11</v>
      </c>
      <c r="B10" s="19" t="s">
        <v>223</v>
      </c>
      <c r="C10" s="19">
        <v>6</v>
      </c>
      <c r="D10" s="19" t="s">
        <v>184</v>
      </c>
      <c r="E10" s="19" t="s">
        <v>182</v>
      </c>
      <c r="F10" s="19" t="s">
        <v>172</v>
      </c>
      <c r="G10" s="19" t="s">
        <v>141</v>
      </c>
      <c r="H10" s="19" t="s">
        <v>183</v>
      </c>
      <c r="I10" s="19" t="s">
        <v>172</v>
      </c>
      <c r="J10" s="19" t="s">
        <v>172</v>
      </c>
    </row>
    <row r="11" spans="1:11" ht="14.5" customHeight="1" x14ac:dyDescent="0.35">
      <c r="A11" s="19" t="s">
        <v>11</v>
      </c>
      <c r="B11" s="19" t="s">
        <v>223</v>
      </c>
      <c r="C11" s="19">
        <v>7</v>
      </c>
      <c r="D11" s="19" t="s">
        <v>185</v>
      </c>
      <c r="E11" s="19" t="s">
        <v>182</v>
      </c>
      <c r="F11" s="19" t="s">
        <v>172</v>
      </c>
      <c r="G11" s="19" t="s">
        <v>141</v>
      </c>
      <c r="H11" s="19" t="s">
        <v>183</v>
      </c>
      <c r="I11" s="19" t="s">
        <v>172</v>
      </c>
      <c r="J11" s="19" t="s">
        <v>172</v>
      </c>
    </row>
    <row r="12" spans="1:11" ht="14.5" customHeight="1" x14ac:dyDescent="0.35">
      <c r="A12" s="19" t="s">
        <v>11</v>
      </c>
      <c r="B12" s="19" t="s">
        <v>223</v>
      </c>
      <c r="C12" s="19">
        <v>8</v>
      </c>
      <c r="D12" s="19" t="s">
        <v>186</v>
      </c>
      <c r="E12" s="19" t="s">
        <v>182</v>
      </c>
      <c r="F12" s="19" t="s">
        <v>172</v>
      </c>
      <c r="G12" s="19" t="s">
        <v>141</v>
      </c>
      <c r="H12" s="19" t="s">
        <v>183</v>
      </c>
      <c r="I12" s="19" t="s">
        <v>172</v>
      </c>
      <c r="J12" s="19" t="s">
        <v>172</v>
      </c>
    </row>
    <row r="13" spans="1:11" ht="14.5" customHeight="1" x14ac:dyDescent="0.35">
      <c r="A13" s="19" t="s">
        <v>11</v>
      </c>
      <c r="B13" s="19" t="s">
        <v>223</v>
      </c>
      <c r="C13" s="19">
        <v>9</v>
      </c>
      <c r="D13" s="19" t="s">
        <v>187</v>
      </c>
      <c r="E13" s="19" t="s">
        <v>182</v>
      </c>
      <c r="F13" s="19" t="s">
        <v>172</v>
      </c>
      <c r="G13" s="19" t="s">
        <v>141</v>
      </c>
      <c r="H13" s="19" t="s">
        <v>183</v>
      </c>
      <c r="I13" s="19" t="s">
        <v>172</v>
      </c>
      <c r="J13" s="19" t="s">
        <v>172</v>
      </c>
    </row>
    <row r="14" spans="1:11" ht="14.5" customHeight="1" x14ac:dyDescent="0.35">
      <c r="A14" s="19" t="s">
        <v>11</v>
      </c>
      <c r="B14" s="19" t="s">
        <v>223</v>
      </c>
      <c r="C14" s="19">
        <v>10</v>
      </c>
      <c r="D14" s="19" t="s">
        <v>188</v>
      </c>
      <c r="E14" s="19" t="s">
        <v>182</v>
      </c>
      <c r="F14" s="19" t="s">
        <v>172</v>
      </c>
      <c r="G14" s="19" t="s">
        <v>141</v>
      </c>
      <c r="H14" s="19" t="s">
        <v>183</v>
      </c>
      <c r="I14" s="19" t="s">
        <v>172</v>
      </c>
      <c r="J14" s="19" t="s">
        <v>172</v>
      </c>
    </row>
    <row r="15" spans="1:11" ht="14.5" customHeight="1" x14ac:dyDescent="0.35">
      <c r="A15" s="19" t="s">
        <v>11</v>
      </c>
      <c r="B15" s="19" t="s">
        <v>223</v>
      </c>
      <c r="C15" s="19">
        <v>11</v>
      </c>
      <c r="D15" s="19" t="s">
        <v>189</v>
      </c>
      <c r="E15" s="19" t="s">
        <v>190</v>
      </c>
      <c r="F15" s="19" t="s">
        <v>172</v>
      </c>
      <c r="G15" s="19" t="s">
        <v>141</v>
      </c>
      <c r="H15" s="19" t="s">
        <v>191</v>
      </c>
      <c r="I15" s="19" t="s">
        <v>172</v>
      </c>
      <c r="J15" s="19" t="s">
        <v>172</v>
      </c>
    </row>
    <row r="16" spans="1:11" ht="14.5" customHeight="1" x14ac:dyDescent="0.35">
      <c r="A16" s="19" t="s">
        <v>11</v>
      </c>
      <c r="B16" s="19" t="s">
        <v>223</v>
      </c>
      <c r="C16" s="19">
        <v>12</v>
      </c>
      <c r="D16" s="19" t="s">
        <v>192</v>
      </c>
      <c r="E16" s="19" t="s">
        <v>193</v>
      </c>
      <c r="F16" s="19" t="s">
        <v>172</v>
      </c>
      <c r="G16" s="19" t="s">
        <v>141</v>
      </c>
      <c r="H16" s="19" t="s">
        <v>194</v>
      </c>
      <c r="I16" s="19" t="s">
        <v>172</v>
      </c>
      <c r="J16" s="19" t="s">
        <v>172</v>
      </c>
    </row>
    <row r="17" spans="1:10" ht="14.5" customHeight="1" x14ac:dyDescent="0.35">
      <c r="A17" s="19" t="s">
        <v>11</v>
      </c>
      <c r="B17" s="19" t="s">
        <v>223</v>
      </c>
      <c r="C17" s="19">
        <v>13</v>
      </c>
      <c r="D17" s="19" t="s">
        <v>195</v>
      </c>
      <c r="E17" s="19" t="s">
        <v>171</v>
      </c>
      <c r="F17" s="19" t="s">
        <v>172</v>
      </c>
      <c r="G17" s="19" t="s">
        <v>141</v>
      </c>
      <c r="H17" s="19" t="s">
        <v>173</v>
      </c>
      <c r="I17" s="19" t="s">
        <v>172</v>
      </c>
      <c r="J17" s="19" t="s">
        <v>172</v>
      </c>
    </row>
    <row r="18" spans="1:10" ht="14.5" customHeight="1" x14ac:dyDescent="0.35">
      <c r="A18" s="19" t="s">
        <v>11</v>
      </c>
      <c r="B18" s="19" t="s">
        <v>223</v>
      </c>
      <c r="C18" s="19">
        <v>14</v>
      </c>
      <c r="D18" s="19" t="s">
        <v>196</v>
      </c>
      <c r="E18" s="19" t="s">
        <v>176</v>
      </c>
      <c r="F18" s="19" t="s">
        <v>172</v>
      </c>
      <c r="G18" s="19" t="s">
        <v>141</v>
      </c>
      <c r="H18" s="19" t="s">
        <v>177</v>
      </c>
      <c r="I18" s="19" t="s">
        <v>172</v>
      </c>
      <c r="J18" s="19" t="s">
        <v>172</v>
      </c>
    </row>
    <row r="19" spans="1:10" ht="14.5" customHeight="1" x14ac:dyDescent="0.35">
      <c r="A19" s="19" t="s">
        <v>11</v>
      </c>
      <c r="B19" s="19" t="s">
        <v>223</v>
      </c>
      <c r="C19" s="19">
        <v>15</v>
      </c>
      <c r="D19" s="19" t="s">
        <v>197</v>
      </c>
      <c r="E19" s="19" t="s">
        <v>176</v>
      </c>
      <c r="F19" s="19" t="s">
        <v>172</v>
      </c>
      <c r="G19" s="19" t="s">
        <v>141</v>
      </c>
      <c r="H19" s="19" t="s">
        <v>177</v>
      </c>
      <c r="I19" s="19" t="s">
        <v>172</v>
      </c>
      <c r="J19" s="19" t="s">
        <v>172</v>
      </c>
    </row>
    <row r="20" spans="1:10" ht="14.5" customHeight="1" x14ac:dyDescent="0.35">
      <c r="A20" s="19" t="s">
        <v>11</v>
      </c>
      <c r="B20" s="19" t="s">
        <v>223</v>
      </c>
      <c r="C20" s="19">
        <v>16</v>
      </c>
      <c r="D20" s="19" t="s">
        <v>198</v>
      </c>
      <c r="E20" s="19" t="s">
        <v>193</v>
      </c>
      <c r="F20" s="19" t="s">
        <v>172</v>
      </c>
      <c r="G20" s="19" t="s">
        <v>141</v>
      </c>
      <c r="H20" s="19" t="s">
        <v>194</v>
      </c>
      <c r="I20" s="19" t="s">
        <v>172</v>
      </c>
      <c r="J20" s="19" t="s">
        <v>172</v>
      </c>
    </row>
    <row r="21" spans="1:10" ht="14.5" customHeight="1" x14ac:dyDescent="0.35">
      <c r="A21" s="19" t="s">
        <v>11</v>
      </c>
      <c r="B21" s="19" t="s">
        <v>223</v>
      </c>
      <c r="C21" s="19">
        <v>17</v>
      </c>
      <c r="D21" s="19" t="s">
        <v>199</v>
      </c>
      <c r="E21" s="19" t="s">
        <v>193</v>
      </c>
      <c r="F21" s="19" t="s">
        <v>172</v>
      </c>
      <c r="G21" s="19" t="s">
        <v>141</v>
      </c>
      <c r="H21" s="19" t="s">
        <v>194</v>
      </c>
      <c r="I21" s="19" t="s">
        <v>172</v>
      </c>
      <c r="J21" s="19" t="s">
        <v>172</v>
      </c>
    </row>
    <row r="22" spans="1:10" ht="14.5" customHeight="1" x14ac:dyDescent="0.35">
      <c r="A22" s="19" t="s">
        <v>11</v>
      </c>
      <c r="B22" s="19" t="s">
        <v>223</v>
      </c>
      <c r="C22" s="19">
        <v>18</v>
      </c>
      <c r="D22" s="19" t="s">
        <v>200</v>
      </c>
      <c r="E22" s="19" t="s">
        <v>201</v>
      </c>
      <c r="F22" s="19" t="s">
        <v>172</v>
      </c>
      <c r="G22" s="19" t="s">
        <v>141</v>
      </c>
      <c r="H22" s="19" t="s">
        <v>202</v>
      </c>
      <c r="I22" s="19" t="s">
        <v>172</v>
      </c>
      <c r="J22" s="19" t="s">
        <v>172</v>
      </c>
    </row>
    <row r="23" spans="1:10" ht="14.5" customHeight="1" x14ac:dyDescent="0.35">
      <c r="A23" s="19" t="s">
        <v>11</v>
      </c>
      <c r="B23" s="19" t="s">
        <v>223</v>
      </c>
      <c r="C23" s="19">
        <v>19</v>
      </c>
      <c r="D23" s="19" t="s">
        <v>203</v>
      </c>
      <c r="E23" s="19" t="s">
        <v>190</v>
      </c>
      <c r="F23" s="19" t="s">
        <v>172</v>
      </c>
      <c r="G23" s="19" t="s">
        <v>141</v>
      </c>
      <c r="H23" s="19" t="s">
        <v>191</v>
      </c>
      <c r="I23" s="19" t="s">
        <v>172</v>
      </c>
      <c r="J23" s="19" t="s">
        <v>172</v>
      </c>
    </row>
    <row r="24" spans="1:10" ht="14.5" customHeight="1" x14ac:dyDescent="0.35">
      <c r="A24" s="19" t="s">
        <v>11</v>
      </c>
      <c r="B24" s="19" t="s">
        <v>223</v>
      </c>
      <c r="C24" s="19">
        <v>20</v>
      </c>
      <c r="D24" s="19" t="s">
        <v>204</v>
      </c>
      <c r="E24" s="19" t="s">
        <v>190</v>
      </c>
      <c r="F24" s="19" t="s">
        <v>172</v>
      </c>
      <c r="G24" s="19" t="s">
        <v>141</v>
      </c>
      <c r="H24" s="19" t="s">
        <v>191</v>
      </c>
      <c r="I24" s="19" t="s">
        <v>172</v>
      </c>
      <c r="J24" s="19" t="s">
        <v>172</v>
      </c>
    </row>
    <row r="25" spans="1:10" ht="14.5" customHeight="1" x14ac:dyDescent="0.35">
      <c r="A25" s="19" t="s">
        <v>11</v>
      </c>
      <c r="B25" s="19" t="s">
        <v>223</v>
      </c>
      <c r="C25" s="19">
        <v>21</v>
      </c>
      <c r="D25" s="19" t="s">
        <v>205</v>
      </c>
      <c r="E25" s="19" t="s">
        <v>171</v>
      </c>
      <c r="F25" s="19" t="s">
        <v>172</v>
      </c>
      <c r="G25" s="19" t="s">
        <v>141</v>
      </c>
      <c r="H25" s="19" t="s">
        <v>173</v>
      </c>
      <c r="I25" s="19" t="s">
        <v>172</v>
      </c>
      <c r="J25" s="19" t="s">
        <v>172</v>
      </c>
    </row>
    <row r="26" spans="1:10" ht="14.5" customHeight="1" x14ac:dyDescent="0.35">
      <c r="A26" s="19" t="s">
        <v>11</v>
      </c>
      <c r="B26" s="19" t="s">
        <v>223</v>
      </c>
      <c r="C26" s="19">
        <v>22</v>
      </c>
      <c r="D26" s="19" t="s">
        <v>206</v>
      </c>
      <c r="E26" s="19" t="s">
        <v>171</v>
      </c>
      <c r="F26" s="19" t="s">
        <v>172</v>
      </c>
      <c r="G26" s="19" t="s">
        <v>141</v>
      </c>
      <c r="H26" s="19" t="s">
        <v>173</v>
      </c>
      <c r="I26" s="19" t="s">
        <v>172</v>
      </c>
      <c r="J26" s="19" t="s">
        <v>172</v>
      </c>
    </row>
    <row r="27" spans="1:10" ht="14.5" customHeight="1" x14ac:dyDescent="0.35">
      <c r="A27" s="19" t="s">
        <v>11</v>
      </c>
      <c r="B27" s="19" t="s">
        <v>223</v>
      </c>
      <c r="C27" s="19">
        <v>23</v>
      </c>
      <c r="D27" s="19" t="s">
        <v>207</v>
      </c>
      <c r="E27" s="19" t="s">
        <v>171</v>
      </c>
      <c r="F27" s="19" t="s">
        <v>172</v>
      </c>
      <c r="G27" s="19" t="s">
        <v>141</v>
      </c>
      <c r="H27" s="19" t="s">
        <v>173</v>
      </c>
      <c r="I27" s="19" t="s">
        <v>172</v>
      </c>
      <c r="J27" s="19" t="s">
        <v>172</v>
      </c>
    </row>
    <row r="28" spans="1:10" ht="14.5" customHeight="1" x14ac:dyDescent="0.35">
      <c r="A28" s="19" t="s">
        <v>11</v>
      </c>
      <c r="B28" s="19" t="s">
        <v>223</v>
      </c>
      <c r="C28" s="19">
        <v>24</v>
      </c>
      <c r="D28" s="19" t="s">
        <v>208</v>
      </c>
      <c r="E28" s="19" t="s">
        <v>171</v>
      </c>
      <c r="F28" s="19" t="s">
        <v>172</v>
      </c>
      <c r="G28" s="19" t="s">
        <v>141</v>
      </c>
      <c r="H28" s="19" t="s">
        <v>173</v>
      </c>
      <c r="I28" s="19" t="s">
        <v>172</v>
      </c>
      <c r="J28" s="19" t="s">
        <v>172</v>
      </c>
    </row>
    <row r="29" spans="1:10" ht="14.5" customHeight="1" x14ac:dyDescent="0.35">
      <c r="A29" s="19" t="s">
        <v>11</v>
      </c>
      <c r="B29" s="19" t="s">
        <v>223</v>
      </c>
      <c r="C29" s="19">
        <v>25</v>
      </c>
      <c r="D29" s="19" t="s">
        <v>209</v>
      </c>
      <c r="E29" s="19" t="s">
        <v>190</v>
      </c>
      <c r="F29" s="19" t="s">
        <v>172</v>
      </c>
      <c r="G29" s="19" t="s">
        <v>141</v>
      </c>
      <c r="H29" s="19" t="s">
        <v>191</v>
      </c>
      <c r="I29" s="19" t="s">
        <v>172</v>
      </c>
      <c r="J29" s="19" t="s">
        <v>172</v>
      </c>
    </row>
    <row r="30" spans="1:10" ht="14.5" customHeight="1" x14ac:dyDescent="0.35">
      <c r="A30" s="19" t="s">
        <v>11</v>
      </c>
      <c r="B30" s="19" t="s">
        <v>223</v>
      </c>
      <c r="C30" s="19">
        <v>26</v>
      </c>
      <c r="D30" s="19" t="s">
        <v>210</v>
      </c>
      <c r="E30" s="19" t="s">
        <v>190</v>
      </c>
      <c r="F30" s="19" t="s">
        <v>172</v>
      </c>
      <c r="G30" s="19" t="s">
        <v>141</v>
      </c>
      <c r="H30" s="19" t="s">
        <v>191</v>
      </c>
      <c r="I30" s="19" t="s">
        <v>172</v>
      </c>
      <c r="J30" s="19" t="s">
        <v>172</v>
      </c>
    </row>
    <row r="31" spans="1:10" ht="14.5" customHeight="1" x14ac:dyDescent="0.35">
      <c r="A31" s="19" t="s">
        <v>11</v>
      </c>
      <c r="B31" s="19" t="s">
        <v>223</v>
      </c>
      <c r="C31" s="19">
        <v>27</v>
      </c>
      <c r="D31" s="19" t="s">
        <v>211</v>
      </c>
      <c r="E31" s="19" t="s">
        <v>171</v>
      </c>
      <c r="F31" s="19" t="s">
        <v>172</v>
      </c>
      <c r="G31" s="19" t="s">
        <v>141</v>
      </c>
      <c r="H31" s="19" t="s">
        <v>173</v>
      </c>
      <c r="I31" s="19" t="s">
        <v>172</v>
      </c>
      <c r="J31" s="19" t="s">
        <v>172</v>
      </c>
    </row>
    <row r="32" spans="1:10" ht="14.5" customHeight="1" x14ac:dyDescent="0.35">
      <c r="A32" s="19" t="s">
        <v>11</v>
      </c>
      <c r="B32" s="19" t="s">
        <v>223</v>
      </c>
      <c r="C32" s="19">
        <v>28</v>
      </c>
      <c r="D32" s="19" t="s">
        <v>212</v>
      </c>
      <c r="E32" s="19" t="s">
        <v>190</v>
      </c>
      <c r="F32" s="19" t="s">
        <v>172</v>
      </c>
      <c r="G32" s="19" t="s">
        <v>141</v>
      </c>
      <c r="H32" s="19" t="s">
        <v>191</v>
      </c>
      <c r="I32" s="19" t="s">
        <v>172</v>
      </c>
      <c r="J32" s="19" t="s">
        <v>172</v>
      </c>
    </row>
    <row r="33" spans="1:10" ht="14.5" customHeight="1" x14ac:dyDescent="0.35">
      <c r="A33" s="19" t="s">
        <v>11</v>
      </c>
      <c r="B33" s="19" t="s">
        <v>223</v>
      </c>
      <c r="C33" s="19">
        <v>29</v>
      </c>
      <c r="D33" s="19" t="s">
        <v>213</v>
      </c>
      <c r="E33" s="19" t="s">
        <v>190</v>
      </c>
      <c r="F33" s="19" t="s">
        <v>172</v>
      </c>
      <c r="G33" s="19" t="s">
        <v>141</v>
      </c>
      <c r="H33" s="19" t="s">
        <v>191</v>
      </c>
      <c r="I33" s="19" t="s">
        <v>172</v>
      </c>
      <c r="J33" s="19" t="s">
        <v>172</v>
      </c>
    </row>
    <row r="34" spans="1:10" ht="14.5" customHeight="1" x14ac:dyDescent="0.35">
      <c r="A34" s="19" t="s">
        <v>11</v>
      </c>
      <c r="B34" s="19" t="s">
        <v>223</v>
      </c>
      <c r="C34" s="19">
        <v>30</v>
      </c>
      <c r="D34" s="19" t="s">
        <v>214</v>
      </c>
      <c r="E34" s="19" t="s">
        <v>215</v>
      </c>
      <c r="F34" s="19" t="s">
        <v>172</v>
      </c>
      <c r="G34" s="19" t="s">
        <v>141</v>
      </c>
      <c r="H34" s="19" t="s">
        <v>216</v>
      </c>
      <c r="I34" s="19" t="s">
        <v>172</v>
      </c>
      <c r="J34" s="19" t="s">
        <v>172</v>
      </c>
    </row>
    <row r="35" spans="1:10" ht="14.5" customHeight="1" x14ac:dyDescent="0.35">
      <c r="A35" s="19" t="s">
        <v>11</v>
      </c>
      <c r="B35" s="19" t="s">
        <v>223</v>
      </c>
      <c r="C35" s="19">
        <v>31</v>
      </c>
      <c r="D35" s="19" t="s">
        <v>217</v>
      </c>
      <c r="E35" s="19" t="s">
        <v>215</v>
      </c>
      <c r="F35" s="19" t="s">
        <v>172</v>
      </c>
      <c r="G35" s="19" t="s">
        <v>141</v>
      </c>
      <c r="H35" s="19" t="s">
        <v>216</v>
      </c>
      <c r="I35" s="19" t="s">
        <v>172</v>
      </c>
      <c r="J35" s="19" t="s">
        <v>172</v>
      </c>
    </row>
    <row r="36" spans="1:10" ht="14.5" customHeight="1" x14ac:dyDescent="0.35">
      <c r="A36" s="19" t="s">
        <v>11</v>
      </c>
      <c r="B36" s="19" t="s">
        <v>223</v>
      </c>
      <c r="C36" s="19">
        <v>32</v>
      </c>
      <c r="D36" s="19" t="s">
        <v>218</v>
      </c>
      <c r="E36" s="19" t="s">
        <v>219</v>
      </c>
      <c r="F36" s="19" t="s">
        <v>172</v>
      </c>
      <c r="G36" s="19" t="s">
        <v>161</v>
      </c>
      <c r="H36" s="19" t="s">
        <v>220</v>
      </c>
      <c r="I36" s="19" t="s">
        <v>172</v>
      </c>
      <c r="J36" s="19" t="s">
        <v>172</v>
      </c>
    </row>
    <row r="37" spans="1:10" ht="14.5" customHeight="1" x14ac:dyDescent="0.35">
      <c r="A37" s="19" t="s">
        <v>11</v>
      </c>
      <c r="B37" s="19" t="s">
        <v>223</v>
      </c>
      <c r="C37" s="19">
        <v>33</v>
      </c>
      <c r="D37" s="19" t="s">
        <v>221</v>
      </c>
      <c r="E37" s="19" t="s">
        <v>222</v>
      </c>
      <c r="F37" s="19" t="s">
        <v>172</v>
      </c>
      <c r="G37" s="19" t="s">
        <v>161</v>
      </c>
      <c r="H37" s="19" t="s">
        <v>220</v>
      </c>
      <c r="I37" s="19" t="s">
        <v>172</v>
      </c>
      <c r="J37" s="19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0"/>
  </sheetPr>
  <dimension ref="A1:D20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15.453125" style="2" customWidth="1"/>
    <col min="2" max="2" width="34.54296875" customWidth="1"/>
    <col min="3" max="3" width="11.453125" style="3" customWidth="1"/>
    <col min="4" max="4" width="32.7265625" bestFit="1" customWidth="1"/>
  </cols>
  <sheetData>
    <row r="1" spans="1:4" ht="24" customHeight="1" x14ac:dyDescent="0.35">
      <c r="A1" s="55" t="s">
        <v>163</v>
      </c>
      <c r="B1" s="56"/>
      <c r="C1" s="57"/>
      <c r="D1" s="56"/>
    </row>
    <row r="3" spans="1:4" ht="18" customHeight="1" x14ac:dyDescent="0.35">
      <c r="A3" s="6" t="s">
        <v>164</v>
      </c>
      <c r="B3" s="1" t="s">
        <v>165</v>
      </c>
      <c r="C3" s="8" t="s">
        <v>166</v>
      </c>
      <c r="D3" s="1" t="s">
        <v>167</v>
      </c>
    </row>
    <row r="4" spans="1:4" s="5" customFormat="1" ht="18" customHeight="1" x14ac:dyDescent="0.35">
      <c r="A4" s="7">
        <v>46248</v>
      </c>
      <c r="B4" s="4" t="s">
        <v>168</v>
      </c>
      <c r="C4" s="9">
        <v>1</v>
      </c>
      <c r="D4" s="4" t="s">
        <v>169</v>
      </c>
    </row>
    <row r="5" spans="1:4" s="5" customFormat="1" ht="18" customHeight="1" x14ac:dyDescent="0.35">
      <c r="A5" s="7"/>
      <c r="B5" s="4"/>
      <c r="C5" s="9"/>
      <c r="D5" s="4"/>
    </row>
    <row r="6" spans="1:4" s="5" customFormat="1" ht="18" customHeight="1" x14ac:dyDescent="0.35">
      <c r="A6" s="7"/>
      <c r="B6" s="4"/>
      <c r="C6" s="9"/>
      <c r="D6" s="4"/>
    </row>
    <row r="7" spans="1:4" s="5" customFormat="1" ht="18" customHeight="1" x14ac:dyDescent="0.35">
      <c r="A7" s="7"/>
      <c r="B7" s="4"/>
      <c r="C7" s="9"/>
      <c r="D7" s="4"/>
    </row>
    <row r="8" spans="1:4" s="5" customFormat="1" ht="18" customHeight="1" x14ac:dyDescent="0.35">
      <c r="A8" s="7"/>
      <c r="B8" s="4"/>
      <c r="C8" s="9"/>
      <c r="D8" s="4"/>
    </row>
    <row r="9" spans="1:4" s="5" customFormat="1" ht="18" customHeight="1" x14ac:dyDescent="0.35">
      <c r="A9" s="7"/>
      <c r="B9" s="4"/>
      <c r="C9" s="9"/>
      <c r="D9" s="4"/>
    </row>
    <row r="10" spans="1:4" s="5" customFormat="1" ht="18" customHeight="1" x14ac:dyDescent="0.35">
      <c r="A10" s="7"/>
      <c r="B10" s="4"/>
      <c r="C10" s="9"/>
      <c r="D10" s="4"/>
    </row>
    <row r="11" spans="1:4" s="5" customFormat="1" ht="18" customHeight="1" x14ac:dyDescent="0.35">
      <c r="A11" s="7"/>
      <c r="B11" s="4"/>
      <c r="C11" s="9"/>
      <c r="D11" s="4"/>
    </row>
    <row r="12" spans="1:4" s="5" customFormat="1" ht="18" customHeight="1" x14ac:dyDescent="0.35">
      <c r="A12" s="7"/>
      <c r="B12" s="4"/>
      <c r="C12" s="9"/>
      <c r="D12" s="4"/>
    </row>
    <row r="13" spans="1:4" s="5" customFormat="1" ht="18" customHeight="1" x14ac:dyDescent="0.35">
      <c r="A13" s="7"/>
      <c r="B13" s="4"/>
      <c r="C13" s="9"/>
      <c r="D13" s="4"/>
    </row>
    <row r="14" spans="1:4" s="5" customFormat="1" ht="18" customHeight="1" x14ac:dyDescent="0.35">
      <c r="A14" s="7"/>
      <c r="B14" s="4"/>
      <c r="C14" s="9"/>
      <c r="D14" s="4"/>
    </row>
    <row r="15" spans="1:4" s="5" customFormat="1" ht="18" customHeight="1" x14ac:dyDescent="0.35">
      <c r="A15" s="7"/>
      <c r="B15" s="4"/>
      <c r="C15" s="9"/>
      <c r="D15" s="4"/>
    </row>
    <row r="16" spans="1:4" s="5" customFormat="1" ht="18" customHeight="1" x14ac:dyDescent="0.35">
      <c r="A16" s="7"/>
      <c r="B16" s="4"/>
      <c r="C16" s="9"/>
      <c r="D16" s="4"/>
    </row>
    <row r="17" spans="1:4" s="5" customFormat="1" ht="18" customHeight="1" x14ac:dyDescent="0.35">
      <c r="A17" s="7"/>
      <c r="B17" s="4"/>
      <c r="C17" s="9"/>
      <c r="D17" s="4"/>
    </row>
    <row r="18" spans="1:4" s="5" customFormat="1" ht="18" customHeight="1" x14ac:dyDescent="0.35">
      <c r="A18" s="7"/>
      <c r="B18" s="4"/>
      <c r="C18" s="9"/>
      <c r="D18" s="4"/>
    </row>
    <row r="19" spans="1:4" s="5" customFormat="1" ht="18" customHeight="1" x14ac:dyDescent="0.35">
      <c r="A19" s="7"/>
      <c r="B19" s="4"/>
      <c r="C19" s="9"/>
      <c r="D19" s="4"/>
    </row>
    <row r="20" spans="1:4" s="5" customFormat="1" ht="18" customHeight="1" x14ac:dyDescent="0.35">
      <c r="A20" s="7"/>
      <c r="B20" s="4"/>
      <c r="C20" s="9"/>
      <c r="D20" s="4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535B-AF45-41E2-9BED-C96EC2DB7D46}">
  <dimension ref="A1:D12"/>
  <sheetViews>
    <sheetView tabSelected="1" workbookViewId="0">
      <selection activeCell="B3" sqref="B3"/>
    </sheetView>
  </sheetViews>
  <sheetFormatPr defaultRowHeight="14.5" x14ac:dyDescent="0.35"/>
  <cols>
    <col min="1" max="1" width="28.1796875" customWidth="1"/>
    <col min="2" max="2" width="41.81640625" customWidth="1"/>
    <col min="3" max="3" width="39.08984375" customWidth="1"/>
    <col min="4" max="4" width="18.81640625" customWidth="1"/>
  </cols>
  <sheetData>
    <row r="1" spans="1:4" ht="18.5" x14ac:dyDescent="0.35">
      <c r="A1" s="43" t="s">
        <v>229</v>
      </c>
      <c r="B1" s="43"/>
      <c r="C1" s="43"/>
      <c r="D1" s="43"/>
    </row>
    <row r="2" spans="1:4" x14ac:dyDescent="0.35">
      <c r="A2" s="25" t="s">
        <v>1</v>
      </c>
      <c r="B2" s="25" t="s">
        <v>230</v>
      </c>
      <c r="C2" s="25" t="s">
        <v>232</v>
      </c>
      <c r="D2" s="25" t="s">
        <v>274</v>
      </c>
    </row>
    <row r="3" spans="1:4" x14ac:dyDescent="0.35">
      <c r="A3" s="26" t="s">
        <v>231</v>
      </c>
      <c r="B3" s="27" t="str">
        <f>IF('1. Data Integration'!B3="","",'1. Data Integration'!B3)</f>
        <v>DSI116-A906-Workday HCM</v>
      </c>
      <c r="C3" s="26" t="s">
        <v>227</v>
      </c>
      <c r="D3" t="s">
        <v>141</v>
      </c>
    </row>
    <row r="4" spans="1:4" x14ac:dyDescent="0.35">
      <c r="A4" s="26" t="s">
        <v>233</v>
      </c>
      <c r="B4" s="27" t="str">
        <f>IF('1. Data Integration'!B5="","",'1. Data Integration'!B5)</f>
        <v/>
      </c>
      <c r="C4" s="26" t="s">
        <v>10</v>
      </c>
      <c r="D4" t="s">
        <v>141</v>
      </c>
    </row>
    <row r="5" spans="1:4" x14ac:dyDescent="0.35">
      <c r="A5" s="26" t="s">
        <v>234</v>
      </c>
      <c r="B5" s="27" t="str">
        <f>IF('1. Data Integration'!B6="","",'1. Data Integration'!B6)</f>
        <v>A906</v>
      </c>
      <c r="C5" s="26" t="s">
        <v>13</v>
      </c>
    </row>
    <row r="6" spans="1:4" x14ac:dyDescent="0.35">
      <c r="A6" s="26" t="s">
        <v>235</v>
      </c>
      <c r="B6" s="27" t="str">
        <f>IF('1. Data Integration'!B7="","",'1. Data Integration'!B7)</f>
        <v>WD</v>
      </c>
      <c r="C6" s="26" t="s">
        <v>18</v>
      </c>
    </row>
    <row r="7" spans="1:4" x14ac:dyDescent="0.35">
      <c r="A7" s="26" t="s">
        <v>236</v>
      </c>
      <c r="B7" s="27" t="str">
        <f>IF('1. Data Integration'!B8="","",'1. Data Integration'!B8)</f>
        <v>Workday Inc</v>
      </c>
      <c r="C7" s="26" t="s">
        <v>21</v>
      </c>
    </row>
    <row r="8" spans="1:4" x14ac:dyDescent="0.35">
      <c r="A8" s="26" t="s">
        <v>237</v>
      </c>
      <c r="B8" s="27" t="str">
        <f>IF('1. Data Integration'!B11="","",'1. Data Integration'!B11)</f>
        <v>People, Finance</v>
      </c>
      <c r="C8" s="26" t="s">
        <v>32</v>
      </c>
    </row>
    <row r="9" spans="1:4" x14ac:dyDescent="0.35">
      <c r="A9" s="26" t="s">
        <v>238</v>
      </c>
      <c r="B9" s="27" t="str">
        <f>IF('1. Data Integration'!B14="","",'1. Data Integration'!B14)</f>
        <v>Bill Smith</v>
      </c>
      <c r="C9" s="26" t="s">
        <v>36</v>
      </c>
    </row>
    <row r="10" spans="1:4" x14ac:dyDescent="0.35">
      <c r="A10" s="26" t="s">
        <v>239</v>
      </c>
      <c r="B10" s="27" t="str">
        <f>IF('1. Data Integration'!B15="","",'1. Data Integration'!B15)</f>
        <v>People Analytics Manager; Nicole Smith</v>
      </c>
      <c r="C10" s="26" t="s">
        <v>39</v>
      </c>
    </row>
    <row r="11" spans="1:4" x14ac:dyDescent="0.35">
      <c r="A11" s="26" t="s">
        <v>240</v>
      </c>
      <c r="B11" s="27" t="str">
        <f>IF('1. Data Integration'!B23="","",'1. Data Integration'!B23)</f>
        <v>Batch File</v>
      </c>
      <c r="C11" s="26" t="s">
        <v>58</v>
      </c>
      <c r="D11" t="s">
        <v>141</v>
      </c>
    </row>
    <row r="12" spans="1:4" x14ac:dyDescent="0.35">
      <c r="A12" s="26" t="s">
        <v>241</v>
      </c>
      <c r="B12" s="27" t="str">
        <f>IF('1. Data Integration'!B24="","",'1. Data Integration'!B24)</f>
        <v>Push</v>
      </c>
      <c r="C12" s="26" t="s">
        <v>61</v>
      </c>
      <c r="D12" t="s">
        <v>141</v>
      </c>
    </row>
  </sheetData>
  <sheetProtection sheet="1" objects="1" scenarios="1"/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07430b-1728-4bb6-9221-c16b18b91a04">
      <Terms xmlns="http://schemas.microsoft.com/office/infopath/2007/PartnerControls"/>
    </lcf76f155ced4ddcb4097134ff3c332f>
    <TaxCatchAll xmlns="aca2c1e6-caa4-4574-b5ed-1eed0ddc62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F6CA5DA94C54DBDF5B4FCF2C6B6C5" ma:contentTypeVersion="13" ma:contentTypeDescription="Create a new document." ma:contentTypeScope="" ma:versionID="489ee38bad4e4aadf0e4ba8271dd1ea7">
  <xsd:schema xmlns:xsd="http://www.w3.org/2001/XMLSchema" xmlns:xs="http://www.w3.org/2001/XMLSchema" xmlns:p="http://schemas.microsoft.com/office/2006/metadata/properties" xmlns:ns2="a207430b-1728-4bb6-9221-c16b18b91a04" xmlns:ns3="aca2c1e6-caa4-4574-b5ed-1eed0ddc62d5" targetNamespace="http://schemas.microsoft.com/office/2006/metadata/properties" ma:root="true" ma:fieldsID="16c0c607a85bcaecc1d5ad9b60430e5a" ns2:_="" ns3:_="">
    <xsd:import namespace="a207430b-1728-4bb6-9221-c16b18b91a04"/>
    <xsd:import namespace="aca2c1e6-caa4-4574-b5ed-1eed0ddc6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7430b-1728-4bb6-9221-c16b18b91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1dde259-b34e-4779-a20d-2767ce9f25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2c1e6-caa4-4574-b5ed-1eed0ddc62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e70fb9-cc7e-4b4f-8e0f-16f4287ad123}" ma:internalName="TaxCatchAll" ma:showField="CatchAllData" ma:web="aca2c1e6-caa4-4574-b5ed-1eed0ddc62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206025-1A77-49E8-8202-972156E9F0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9401C2-5A1E-4D9B-B9A0-FEBD8BCEFCDA}">
  <ds:schemaRefs>
    <ds:schemaRef ds:uri="http://www.w3.org/XML/1998/namespace"/>
    <ds:schemaRef ds:uri="aca2c1e6-caa4-4574-b5ed-1eed0ddc62d5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a207430b-1728-4bb6-9221-c16b18b91a04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2F56BCF-43E6-4EDD-A7CB-0CFE3F90A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07430b-1728-4bb6-9221-c16b18b91a04"/>
    <ds:schemaRef ds:uri="aca2c1e6-caa4-4574-b5ed-1eed0ddc62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Data Integration</vt:lpstr>
      <vt:lpstr>2. MDP Ingestion Pattern</vt:lpstr>
      <vt:lpstr>3. Datasets</vt:lpstr>
      <vt:lpstr>4. Dataset Attributes</vt:lpstr>
      <vt:lpstr>5. Version Control</vt:lpstr>
      <vt:lpstr>Interface 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 Mahony, Roy</dc:creator>
  <cp:keywords/>
  <dc:description/>
  <cp:lastModifiedBy>Nichani, Prateek</cp:lastModifiedBy>
  <cp:revision>0</cp:revision>
  <dcterms:created xsi:type="dcterms:W3CDTF">2026-08-12T22:27:03Z</dcterms:created>
  <dcterms:modified xsi:type="dcterms:W3CDTF">2026-10-24T23:23:11Z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623c20-cf85-4584-9a92-dfa20b3038a9_Enabled">
    <vt:lpwstr>true</vt:lpwstr>
  </property>
  <property fmtid="{D5CDD505-2E9C-101B-9397-08002B2CF9AE}" pid="3" name="MSIP_Label_d5623c20-cf85-4584-9a92-dfa20b3038a9_SetDate">
    <vt:lpwstr>2026-08-12T22:39:54Z</vt:lpwstr>
  </property>
  <property fmtid="{D5CDD505-2E9C-101B-9397-08002B2CF9AE}" pid="4" name="MSIP_Label_d5623c20-cf85-4584-9a92-dfa20b3038a9_Method">
    <vt:lpwstr>Standard</vt:lpwstr>
  </property>
  <property fmtid="{D5CDD505-2E9C-101B-9397-08002B2CF9AE}" pid="5" name="MSIP_Label_d5623c20-cf85-4584-9a92-dfa20b3038a9_Name">
    <vt:lpwstr>OFFICIAL</vt:lpwstr>
  </property>
  <property fmtid="{D5CDD505-2E9C-101B-9397-08002B2CF9AE}" pid="6" name="MSIP_Label_d5623c20-cf85-4584-9a92-dfa20b3038a9_SiteId">
    <vt:lpwstr>cc8eba36-2750-4bde-905f-8b0956c1f71a</vt:lpwstr>
  </property>
  <property fmtid="{D5CDD505-2E9C-101B-9397-08002B2CF9AE}" pid="7" name="MSIP_Label_d5623c20-cf85-4584-9a92-dfa20b3038a9_ActionId">
    <vt:lpwstr>04b58b45-7769-420a-a734-41f643a17ea2</vt:lpwstr>
  </property>
  <property fmtid="{D5CDD505-2E9C-101B-9397-08002B2CF9AE}" pid="8" name="MSIP_Label_d5623c20-cf85-4584-9a92-dfa20b3038a9_ContentBits">
    <vt:lpwstr>0</vt:lpwstr>
  </property>
  <property fmtid="{D5CDD505-2E9C-101B-9397-08002B2CF9AE}" pid="9" name="MSIP_Label_d5623c20-cf85-4584-9a92-dfa20b3038a9_Tag">
    <vt:lpwstr>50, 3, 0, 1</vt:lpwstr>
  </property>
  <property fmtid="{D5CDD505-2E9C-101B-9397-08002B2CF9AE}" pid="10" name="ContentTypeId">
    <vt:lpwstr>0x0101006B3F6CA5DA94C54DBDF5B4FCF2C6B6C5</vt:lpwstr>
  </property>
  <property fmtid="{D5CDD505-2E9C-101B-9397-08002B2CF9AE}" pid="11" name="MediaServiceImageTags">
    <vt:lpwstr/>
  </property>
</Properties>
</file>